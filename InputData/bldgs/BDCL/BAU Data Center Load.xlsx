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bldgs\BDCL\"/>
    </mc:Choice>
  </mc:AlternateContent>
  <xr:revisionPtr revIDLastSave="0" documentId="8_{BB355C07-59BA-4615-B2C6-8527D797DE7A}"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F167" i="10"/>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D167" i="10"/>
  <c r="E167" i="10" s="1"/>
  <c r="C167" i="10"/>
  <c r="B167" i="10"/>
  <c r="AC166" i="10"/>
  <c r="F166" i="10"/>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D166" i="10"/>
  <c r="E166" i="10" s="1"/>
  <c r="C166" i="10"/>
  <c r="B166" i="10"/>
  <c r="AC165" i="10"/>
  <c r="B165" i="10"/>
  <c r="AC160" i="10"/>
  <c r="E160" i="10"/>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C160" i="10" s="1"/>
  <c r="D160" i="10" s="1"/>
  <c r="AC159" i="10"/>
  <c r="B159" i="10"/>
  <c r="O158" i="10"/>
  <c r="P158" i="10" s="1"/>
  <c r="Q158" i="10" s="1"/>
  <c r="R158" i="10" s="1"/>
  <c r="S158" i="10" s="1"/>
  <c r="T158" i="10" s="1"/>
  <c r="U158" i="10" s="1"/>
  <c r="V158" i="10" s="1"/>
  <c r="W158" i="10" s="1"/>
  <c r="X158" i="10" s="1"/>
  <c r="Y158" i="10" s="1"/>
  <c r="Z158" i="10" s="1"/>
  <c r="AA158" i="10" s="1"/>
  <c r="AB158" i="10" s="1"/>
  <c r="N158" i="10"/>
  <c r="F158" i="10"/>
  <c r="G158" i="10" s="1"/>
  <c r="H158" i="10" s="1"/>
  <c r="I158" i="10" s="1"/>
  <c r="J158" i="10" s="1"/>
  <c r="K158" i="10" s="1"/>
  <c r="L158" i="10" s="1"/>
  <c r="M158" i="10" s="1"/>
  <c r="D158" i="10"/>
  <c r="E158" i="10" s="1"/>
  <c r="C158" i="10"/>
  <c r="AC157" i="10"/>
  <c r="K157" i="10"/>
  <c r="L157" i="10" s="1"/>
  <c r="M157" i="10" s="1"/>
  <c r="N157" i="10" s="1"/>
  <c r="O157" i="10" s="1"/>
  <c r="P157" i="10" s="1"/>
  <c r="Q157" i="10" s="1"/>
  <c r="R157" i="10" s="1"/>
  <c r="S157" i="10" s="1"/>
  <c r="T157" i="10" s="1"/>
  <c r="U157" i="10" s="1"/>
  <c r="V157" i="10" s="1"/>
  <c r="W157" i="10" s="1"/>
  <c r="X157" i="10" s="1"/>
  <c r="Y157" i="10" s="1"/>
  <c r="Z157" i="10" s="1"/>
  <c r="AA157" i="10" s="1"/>
  <c r="AB157" i="10" s="1"/>
  <c r="C157" i="10"/>
  <c r="D157" i="10" s="1"/>
  <c r="E157" i="10" s="1"/>
  <c r="F157" i="10" s="1"/>
  <c r="G157" i="10" s="1"/>
  <c r="H157" i="10" s="1"/>
  <c r="I157" i="10" s="1"/>
  <c r="J157" i="10" s="1"/>
  <c r="B157" i="10"/>
  <c r="AC156" i="10"/>
  <c r="Z156" i="10"/>
  <c r="AA156" i="10" s="1"/>
  <c r="AB156"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B156" i="10"/>
  <c r="AC155" i="10"/>
  <c r="D155" i="10"/>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C155" i="10" s="1"/>
  <c r="AC154" i="10"/>
  <c r="E154" i="10"/>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D154" i="10"/>
  <c r="C154" i="10"/>
  <c r="B154" i="10"/>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C152" i="10" s="1"/>
  <c r="D152" i="10" s="1"/>
  <c r="E152" i="10" s="1"/>
  <c r="F152" i="10" s="1"/>
  <c r="G152" i="10" s="1"/>
  <c r="H152" i="10" s="1"/>
  <c r="I152" i="10" s="1"/>
  <c r="J152" i="10" s="1"/>
  <c r="K152" i="10"/>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s="1"/>
  <c r="D151" i="10" s="1"/>
  <c r="E151" i="10" s="1"/>
  <c r="F151" i="10" s="1"/>
  <c r="J151" i="10"/>
  <c r="K151" i="10" s="1"/>
  <c r="L151" i="10" s="1"/>
  <c r="M151" i="10" s="1"/>
  <c r="N151" i="10" s="1"/>
  <c r="O151" i="10" s="1"/>
  <c r="P151" i="10" s="1"/>
  <c r="Q151" i="10" s="1"/>
  <c r="R151" i="10" s="1"/>
  <c r="S151" i="10" s="1"/>
  <c r="T151" i="10" s="1"/>
  <c r="U151" i="10" s="1"/>
  <c r="V151" i="10" s="1"/>
  <c r="W151" i="10" s="1"/>
  <c r="X151" i="10" s="1"/>
  <c r="Y151" i="10" s="1"/>
  <c r="Z151" i="10" s="1"/>
  <c r="AA151" i="10" s="1"/>
  <c r="AB151" i="10" s="1"/>
  <c r="I151" i="10"/>
  <c r="H151" i="10"/>
  <c r="G151" i="10"/>
  <c r="B151" i="10"/>
  <c r="AC150" i="10"/>
  <c r="F150" i="10"/>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D150" i="10" s="1"/>
  <c r="E150" i="10" s="1"/>
  <c r="AC149" i="10"/>
  <c r="S149" i="10"/>
  <c r="T149" i="10" s="1"/>
  <c r="U149" i="10" s="1"/>
  <c r="V149" i="10" s="1"/>
  <c r="W149" i="10" s="1"/>
  <c r="X149" i="10" s="1"/>
  <c r="Y149" i="10" s="1"/>
  <c r="Z149" i="10" s="1"/>
  <c r="AA149" i="10" s="1"/>
  <c r="AB149" i="10" s="1"/>
  <c r="E149" i="10"/>
  <c r="F149" i="10" s="1"/>
  <c r="G149" i="10" s="1"/>
  <c r="H149" i="10" s="1"/>
  <c r="I149" i="10" s="1"/>
  <c r="J149" i="10" s="1"/>
  <c r="K149" i="10" s="1"/>
  <c r="L149" i="10" s="1"/>
  <c r="M149" i="10" s="1"/>
  <c r="N149" i="10" s="1"/>
  <c r="O149" i="10" s="1"/>
  <c r="P149" i="10" s="1"/>
  <c r="Q149" i="10" s="1"/>
  <c r="R149" i="10" s="1"/>
  <c r="B149" i="10"/>
  <c r="C149" i="10" s="1"/>
  <c r="D149" i="10" s="1"/>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AC145" i="10"/>
  <c r="C145" i="10" s="1"/>
  <c r="E145" i="10"/>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D145" i="10"/>
  <c r="B145" i="10"/>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C143" i="10" s="1"/>
  <c r="D143" i="10"/>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C142" i="10" s="1"/>
  <c r="D142" i="10"/>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C141" i="10" s="1"/>
  <c r="D141" i="10" s="1"/>
  <c r="E141" i="10" s="1"/>
  <c r="F141" i="10" s="1"/>
  <c r="G141" i="10" s="1"/>
  <c r="H141" i="10" s="1"/>
  <c r="I141" i="10" s="1"/>
  <c r="J141" i="10" s="1"/>
  <c r="K141" i="10"/>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R138" i="10"/>
  <c r="S138" i="10" s="1"/>
  <c r="T138" i="10" s="1"/>
  <c r="U138" i="10" s="1"/>
  <c r="V138" i="10" s="1"/>
  <c r="W138" i="10" s="1"/>
  <c r="X138" i="10" s="1"/>
  <c r="Y138" i="10" s="1"/>
  <c r="Z138" i="10" s="1"/>
  <c r="AA138" i="10" s="1"/>
  <c r="AB138" i="10" s="1"/>
  <c r="B138" i="10"/>
  <c r="C138" i="10" s="1"/>
  <c r="D138" i="10" s="1"/>
  <c r="E138" i="10" s="1"/>
  <c r="F138" i="10" s="1"/>
  <c r="G138" i="10" s="1"/>
  <c r="H138" i="10" s="1"/>
  <c r="I138" i="10" s="1"/>
  <c r="J138" i="10" s="1"/>
  <c r="K138" i="10" s="1"/>
  <c r="L138" i="10" s="1"/>
  <c r="M138" i="10" s="1"/>
  <c r="N138" i="10" s="1"/>
  <c r="O138" i="10" s="1"/>
  <c r="P138" i="10" s="1"/>
  <c r="Q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W136" i="10"/>
  <c r="X136" i="10" s="1"/>
  <c r="Y136" i="10" s="1"/>
  <c r="Z136" i="10" s="1"/>
  <c r="AA136" i="10" s="1"/>
  <c r="AB136" i="10" s="1"/>
  <c r="V136" i="10"/>
  <c r="J136" i="10"/>
  <c r="K136" i="10" s="1"/>
  <c r="L136" i="10" s="1"/>
  <c r="M136" i="10" s="1"/>
  <c r="N136" i="10" s="1"/>
  <c r="O136" i="10" s="1"/>
  <c r="P136" i="10" s="1"/>
  <c r="Q136" i="10" s="1"/>
  <c r="R136" i="10" s="1"/>
  <c r="S136" i="10" s="1"/>
  <c r="T136" i="10" s="1"/>
  <c r="U136" i="10" s="1"/>
  <c r="I136" i="10"/>
  <c r="H136" i="10"/>
  <c r="F136" i="10"/>
  <c r="G136" i="10" s="1"/>
  <c r="E136" i="10"/>
  <c r="C136" i="10"/>
  <c r="D136" i="10" s="1"/>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Q134" i="10"/>
  <c r="R134" i="10" s="1"/>
  <c r="S134" i="10" s="1"/>
  <c r="T134" i="10" s="1"/>
  <c r="U134" i="10" s="1"/>
  <c r="V134" i="10" s="1"/>
  <c r="W134" i="10" s="1"/>
  <c r="X134" i="10" s="1"/>
  <c r="Y134" i="10" s="1"/>
  <c r="Z134" i="10" s="1"/>
  <c r="AA134" i="10" s="1"/>
  <c r="AB134" i="10" s="1"/>
  <c r="B134" i="10"/>
  <c r="C134" i="10" s="1"/>
  <c r="D134" i="10" s="1"/>
  <c r="E134" i="10" s="1"/>
  <c r="F134" i="10" s="1"/>
  <c r="G134" i="10" s="1"/>
  <c r="H134" i="10" s="1"/>
  <c r="I134" i="10" s="1"/>
  <c r="J134" i="10" s="1"/>
  <c r="K134" i="10" s="1"/>
  <c r="L134" i="10" s="1"/>
  <c r="M134" i="10" s="1"/>
  <c r="N134" i="10" s="1"/>
  <c r="O134" i="10" s="1"/>
  <c r="P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G132" i="10"/>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D132" i="10"/>
  <c r="E132" i="10" s="1"/>
  <c r="F132" i="10" s="1"/>
  <c r="B132" i="10"/>
  <c r="C132" i="10" s="1"/>
  <c r="AC131" i="10"/>
  <c r="Q131" i="10"/>
  <c r="R131" i="10" s="1"/>
  <c r="S131" i="10" s="1"/>
  <c r="T131" i="10" s="1"/>
  <c r="U131" i="10" s="1"/>
  <c r="V131" i="10" s="1"/>
  <c r="W131" i="10" s="1"/>
  <c r="X131" i="10" s="1"/>
  <c r="Y131" i="10" s="1"/>
  <c r="Z131" i="10" s="1"/>
  <c r="AA131" i="10" s="1"/>
  <c r="AB131" i="10" s="1"/>
  <c r="B131" i="10"/>
  <c r="C131" i="10" s="1"/>
  <c r="D131" i="10" s="1"/>
  <c r="E131" i="10" s="1"/>
  <c r="F131" i="10" s="1"/>
  <c r="G131" i="10" s="1"/>
  <c r="H131" i="10" s="1"/>
  <c r="I131" i="10" s="1"/>
  <c r="J131" i="10" s="1"/>
  <c r="K131" i="10" s="1"/>
  <c r="L131" i="10" s="1"/>
  <c r="M131" i="10" s="1"/>
  <c r="N131" i="10" s="1"/>
  <c r="O131" i="10" s="1"/>
  <c r="P131" i="10" s="1"/>
  <c r="AC130" i="10"/>
  <c r="D130" i="10"/>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130" i="10"/>
  <c r="B130" i="10"/>
  <c r="AC129" i="10"/>
  <c r="L129" i="10"/>
  <c r="M129" i="10" s="1"/>
  <c r="N129" i="10" s="1"/>
  <c r="O129" i="10" s="1"/>
  <c r="P129" i="10" s="1"/>
  <c r="Q129" i="10" s="1"/>
  <c r="R129" i="10" s="1"/>
  <c r="S129" i="10" s="1"/>
  <c r="T129" i="10" s="1"/>
  <c r="U129" i="10" s="1"/>
  <c r="V129" i="10" s="1"/>
  <c r="W129" i="10" s="1"/>
  <c r="X129" i="10" s="1"/>
  <c r="Y129" i="10" s="1"/>
  <c r="Z129" i="10" s="1"/>
  <c r="AA129" i="10" s="1"/>
  <c r="AB129" i="10" s="1"/>
  <c r="G129" i="10"/>
  <c r="H129" i="10" s="1"/>
  <c r="I129" i="10" s="1"/>
  <c r="J129" i="10" s="1"/>
  <c r="K129" i="10" s="1"/>
  <c r="F129" i="10"/>
  <c r="D129" i="10"/>
  <c r="E129" i="10" s="1"/>
  <c r="C129" i="10"/>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C127" i="10" s="1"/>
  <c r="D127" i="10" s="1"/>
  <c r="E127" i="10" s="1"/>
  <c r="F127" i="10" s="1"/>
  <c r="G127" i="10" s="1"/>
  <c r="H127" i="10"/>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B124" i="10"/>
  <c r="AC123" i="10"/>
  <c r="E123" i="10"/>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C123" i="10" s="1"/>
  <c r="D123" i="10" s="1"/>
  <c r="AC122" i="10"/>
  <c r="H122" i="10"/>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C122" i="10" s="1"/>
  <c r="D122" i="10" s="1"/>
  <c r="E122" i="10" s="1"/>
  <c r="F122" i="10" s="1"/>
  <c r="G122" i="10" s="1"/>
  <c r="AC121" i="10"/>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C119" i="10" s="1"/>
  <c r="D119" i="10" s="1"/>
  <c r="E119" i="10" s="1"/>
  <c r="F119" i="10" s="1"/>
  <c r="G119" i="10" s="1"/>
  <c r="J119" i="10"/>
  <c r="K119" i="10" s="1"/>
  <c r="L119" i="10" s="1"/>
  <c r="M119" i="10" s="1"/>
  <c r="N119" i="10" s="1"/>
  <c r="O119" i="10" s="1"/>
  <c r="P119" i="10" s="1"/>
  <c r="Q119" i="10" s="1"/>
  <c r="R119" i="10" s="1"/>
  <c r="S119" i="10" s="1"/>
  <c r="T119" i="10" s="1"/>
  <c r="U119" i="10" s="1"/>
  <c r="V119" i="10" s="1"/>
  <c r="W119" i="10" s="1"/>
  <c r="X119" i="10" s="1"/>
  <c r="Y119" i="10" s="1"/>
  <c r="Z119" i="10" s="1"/>
  <c r="AA119" i="10" s="1"/>
  <c r="AB119" i="10" s="1"/>
  <c r="H119" i="10"/>
  <c r="I119" i="10" s="1"/>
  <c r="B119" i="10"/>
  <c r="AC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c r="W118" i="10" s="1"/>
  <c r="X118" i="10" s="1"/>
  <c r="Y118" i="10" s="1"/>
  <c r="Z118" i="10" s="1"/>
  <c r="AA118" i="10" s="1"/>
  <c r="AB118" i="10" s="1"/>
  <c r="B118" i="10"/>
  <c r="AC117" i="10"/>
  <c r="C117" i="10" s="1"/>
  <c r="D117" i="10" s="1"/>
  <c r="E117" i="10" s="1"/>
  <c r="F117" i="10" s="1"/>
  <c r="G117" i="10" s="1"/>
  <c r="H117" i="10" s="1"/>
  <c r="I117" i="10" s="1"/>
  <c r="L117" i="10"/>
  <c r="M117" i="10" s="1"/>
  <c r="N117" i="10" s="1"/>
  <c r="O117" i="10" s="1"/>
  <c r="P117" i="10" s="1"/>
  <c r="Q117" i="10" s="1"/>
  <c r="R117" i="10" s="1"/>
  <c r="S117" i="10" s="1"/>
  <c r="T117" i="10" s="1"/>
  <c r="U117" i="10" s="1"/>
  <c r="V117" i="10" s="1"/>
  <c r="W117" i="10" s="1"/>
  <c r="X117" i="10" s="1"/>
  <c r="Y117" i="10" s="1"/>
  <c r="Z117" i="10" s="1"/>
  <c r="AA117" i="10" s="1"/>
  <c r="AB117" i="10" s="1"/>
  <c r="J117" i="10"/>
  <c r="K117" i="10" s="1"/>
  <c r="B117" i="10"/>
  <c r="AC116" i="10"/>
  <c r="C116" i="10" s="1"/>
  <c r="D116" i="10" s="1"/>
  <c r="E116" i="10"/>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J115" i="10"/>
  <c r="K115" i="10" s="1"/>
  <c r="L115" i="10" s="1"/>
  <c r="M115" i="10" s="1"/>
  <c r="N115" i="10" s="1"/>
  <c r="O115" i="10" s="1"/>
  <c r="P115" i="10" s="1"/>
  <c r="Q115" i="10" s="1"/>
  <c r="R115" i="10" s="1"/>
  <c r="S115" i="10" s="1"/>
  <c r="T115" i="10" s="1"/>
  <c r="U115" i="10" s="1"/>
  <c r="V115" i="10" s="1"/>
  <c r="W115" i="10" s="1"/>
  <c r="X115" i="10" s="1"/>
  <c r="Y115" i="10" s="1"/>
  <c r="Z115" i="10" s="1"/>
  <c r="AA115" i="10" s="1"/>
  <c r="AB115" i="10" s="1"/>
  <c r="H115" i="10"/>
  <c r="I115" i="10" s="1"/>
  <c r="B115" i="10"/>
  <c r="C115" i="10" s="1"/>
  <c r="D115" i="10" s="1"/>
  <c r="E115" i="10" s="1"/>
  <c r="F115" i="10" s="1"/>
  <c r="G115" i="10" s="1"/>
  <c r="AC114" i="10"/>
  <c r="E114" i="10"/>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C114" i="10" s="1"/>
  <c r="D114" i="10" s="1"/>
  <c r="AC113" i="10"/>
  <c r="C113" i="10" s="1"/>
  <c r="D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B105" i="10"/>
  <c r="AC104" i="10"/>
  <c r="G104" i="10"/>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F104" i="10"/>
  <c r="E104" i="10"/>
  <c r="B104" i="10"/>
  <c r="C104" i="10" s="1"/>
  <c r="D104" i="10" s="1"/>
  <c r="AC103" i="10"/>
  <c r="P103" i="10"/>
  <c r="Q103" i="10" s="1"/>
  <c r="R103" i="10" s="1"/>
  <c r="S103" i="10" s="1"/>
  <c r="T103" i="10" s="1"/>
  <c r="U103" i="10" s="1"/>
  <c r="V103" i="10" s="1"/>
  <c r="W103" i="10" s="1"/>
  <c r="X103" i="10" s="1"/>
  <c r="Y103" i="10" s="1"/>
  <c r="Z103" i="10" s="1"/>
  <c r="AA103" i="10" s="1"/>
  <c r="AB103" i="10" s="1"/>
  <c r="M103" i="10"/>
  <c r="N103" i="10" s="1"/>
  <c r="O103" i="10" s="1"/>
  <c r="H103" i="10"/>
  <c r="I103" i="10" s="1"/>
  <c r="J103" i="10" s="1"/>
  <c r="K103" i="10" s="1"/>
  <c r="L103" i="10" s="1"/>
  <c r="D103" i="10"/>
  <c r="E103" i="10" s="1"/>
  <c r="F103" i="10" s="1"/>
  <c r="G103" i="10" s="1"/>
  <c r="B103" i="10"/>
  <c r="C103" i="10" s="1"/>
  <c r="AC102" i="10"/>
  <c r="E102" i="10"/>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D102" i="10"/>
  <c r="C102" i="10"/>
  <c r="B102" i="10"/>
  <c r="AC101" i="10"/>
  <c r="G101" i="10"/>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F101" i="10"/>
  <c r="C101" i="10"/>
  <c r="D101" i="10" s="1"/>
  <c r="E101" i="10" s="1"/>
  <c r="B101" i="10"/>
  <c r="AC100" i="10"/>
  <c r="E100" i="10"/>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00" i="10"/>
  <c r="D100" i="10" s="1"/>
  <c r="B100" i="10"/>
  <c r="AC99" i="10"/>
  <c r="E99" i="10"/>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D99" i="10"/>
  <c r="C99" i="10"/>
  <c r="B99" i="10"/>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B96" i="10"/>
  <c r="AC95" i="10"/>
  <c r="Y95" i="10"/>
  <c r="Z95" i="10" s="1"/>
  <c r="AA95" i="10" s="1"/>
  <c r="AB95" i="10" s="1"/>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AC94" i="10"/>
  <c r="J94" i="10"/>
  <c r="K94" i="10" s="1"/>
  <c r="L94" i="10" s="1"/>
  <c r="M94" i="10" s="1"/>
  <c r="N94" i="10" s="1"/>
  <c r="O94" i="10" s="1"/>
  <c r="P94" i="10" s="1"/>
  <c r="Q94" i="10" s="1"/>
  <c r="R94" i="10" s="1"/>
  <c r="S94" i="10" s="1"/>
  <c r="T94" i="10" s="1"/>
  <c r="U94" i="10" s="1"/>
  <c r="V94" i="10" s="1"/>
  <c r="W94" i="10" s="1"/>
  <c r="X94" i="10" s="1"/>
  <c r="Y94" i="10" s="1"/>
  <c r="Z94" i="10" s="1"/>
  <c r="AA94" i="10" s="1"/>
  <c r="AB94" i="10" s="1"/>
  <c r="I94" i="10"/>
  <c r="H94" i="10"/>
  <c r="F94" i="10"/>
  <c r="G94" i="10" s="1"/>
  <c r="D94" i="10"/>
  <c r="E94" i="10" s="1"/>
  <c r="B94" i="10"/>
  <c r="C94" i="10" s="1"/>
  <c r="AC93" i="10"/>
  <c r="R93" i="10"/>
  <c r="S93" i="10" s="1"/>
  <c r="T93" i="10" s="1"/>
  <c r="U93" i="10" s="1"/>
  <c r="V93" i="10" s="1"/>
  <c r="W93" i="10" s="1"/>
  <c r="X93" i="10" s="1"/>
  <c r="Y93" i="10" s="1"/>
  <c r="Z93" i="10" s="1"/>
  <c r="AA93" i="10" s="1"/>
  <c r="AB93" i="10" s="1"/>
  <c r="Q93" i="10"/>
  <c r="K93" i="10"/>
  <c r="L93" i="10" s="1"/>
  <c r="M93" i="10" s="1"/>
  <c r="N93" i="10" s="1"/>
  <c r="O93" i="10" s="1"/>
  <c r="P93" i="10" s="1"/>
  <c r="I93" i="10"/>
  <c r="J93" i="10" s="1"/>
  <c r="F93" i="10"/>
  <c r="G93" i="10" s="1"/>
  <c r="H93" i="10" s="1"/>
  <c r="C93" i="10"/>
  <c r="D93" i="10" s="1"/>
  <c r="E93" i="10" s="1"/>
  <c r="B93" i="10"/>
  <c r="AC92" i="10"/>
  <c r="D92" i="10"/>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C92" i="10"/>
  <c r="B92" i="10"/>
  <c r="AC91"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C89" i="10" s="1"/>
  <c r="H89" i="10"/>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D89" i="10"/>
  <c r="E89" i="10" s="1"/>
  <c r="F89" i="10" s="1"/>
  <c r="G89" i="10" s="1"/>
  <c r="B89" i="10"/>
  <c r="AC88" i="10"/>
  <c r="R88" i="10"/>
  <c r="S88" i="10" s="1"/>
  <c r="T88" i="10" s="1"/>
  <c r="U88" i="10" s="1"/>
  <c r="V88" i="10" s="1"/>
  <c r="W88" i="10" s="1"/>
  <c r="X88" i="10" s="1"/>
  <c r="Y88" i="10" s="1"/>
  <c r="Z88" i="10" s="1"/>
  <c r="AA88" i="10" s="1"/>
  <c r="AB88" i="10" s="1"/>
  <c r="D88" i="10"/>
  <c r="E88" i="10" s="1"/>
  <c r="F88" i="10" s="1"/>
  <c r="G88" i="10" s="1"/>
  <c r="H88" i="10" s="1"/>
  <c r="I88" i="10" s="1"/>
  <c r="J88" i="10" s="1"/>
  <c r="K88" i="10" s="1"/>
  <c r="L88" i="10" s="1"/>
  <c r="M88" i="10" s="1"/>
  <c r="N88" i="10" s="1"/>
  <c r="O88" i="10" s="1"/>
  <c r="P88" i="10" s="1"/>
  <c r="Q88" i="10" s="1"/>
  <c r="C88" i="10"/>
  <c r="B88" i="10"/>
  <c r="AC87" i="10"/>
  <c r="J87" i="10"/>
  <c r="K87" i="10" s="1"/>
  <c r="L87" i="10" s="1"/>
  <c r="M87" i="10" s="1"/>
  <c r="N87" i="10" s="1"/>
  <c r="O87" i="10" s="1"/>
  <c r="P87" i="10" s="1"/>
  <c r="Q87" i="10" s="1"/>
  <c r="R87" i="10" s="1"/>
  <c r="S87" i="10" s="1"/>
  <c r="T87" i="10" s="1"/>
  <c r="U87" i="10" s="1"/>
  <c r="V87" i="10" s="1"/>
  <c r="W87" i="10" s="1"/>
  <c r="X87" i="10" s="1"/>
  <c r="Y87" i="10" s="1"/>
  <c r="Z87" i="10" s="1"/>
  <c r="AA87" i="10" s="1"/>
  <c r="AB87" i="10" s="1"/>
  <c r="H87" i="10"/>
  <c r="I87" i="10" s="1"/>
  <c r="G87" i="10"/>
  <c r="F87" i="10"/>
  <c r="E87" i="10"/>
  <c r="D87" i="10"/>
  <c r="C87" i="10"/>
  <c r="B87" i="10"/>
  <c r="AC86" i="10"/>
  <c r="F86" i="10"/>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E86" i="10"/>
  <c r="D86" i="10"/>
  <c r="C86" i="10"/>
  <c r="B86" i="10"/>
  <c r="AC85" i="10"/>
  <c r="C85" i="10" s="1"/>
  <c r="D85" i="10" s="1"/>
  <c r="E85" i="10" s="1"/>
  <c r="F85" i="10" s="1"/>
  <c r="G85" i="10" s="1"/>
  <c r="H85" i="10" s="1"/>
  <c r="I85" i="10"/>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J83" i="10"/>
  <c r="K83" i="10" s="1"/>
  <c r="L83" i="10" s="1"/>
  <c r="M83" i="10" s="1"/>
  <c r="N83" i="10" s="1"/>
  <c r="O83" i="10" s="1"/>
  <c r="P83" i="10" s="1"/>
  <c r="Q83" i="10" s="1"/>
  <c r="R83" i="10" s="1"/>
  <c r="S83" i="10" s="1"/>
  <c r="T83" i="10" s="1"/>
  <c r="U83" i="10" s="1"/>
  <c r="V83" i="10" s="1"/>
  <c r="W83" i="10" s="1"/>
  <c r="X83" i="10" s="1"/>
  <c r="Y83" i="10" s="1"/>
  <c r="Z83" i="10" s="1"/>
  <c r="AA83" i="10" s="1"/>
  <c r="AB83" i="10" s="1"/>
  <c r="C83" i="10"/>
  <c r="D83" i="10" s="1"/>
  <c r="E83" i="10" s="1"/>
  <c r="F83" i="10" s="1"/>
  <c r="G83" i="10" s="1"/>
  <c r="H83" i="10" s="1"/>
  <c r="I83" i="10" s="1"/>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c r="W81" i="10" s="1"/>
  <c r="X81" i="10" s="1"/>
  <c r="Y81" i="10" s="1"/>
  <c r="Z81" i="10" s="1"/>
  <c r="AA81" i="10" s="1"/>
  <c r="AB81" i="10" s="1"/>
  <c r="B81" i="10"/>
  <c r="AC80" i="10"/>
  <c r="C80" i="10" s="1"/>
  <c r="D80" i="10" s="1"/>
  <c r="E80" i="10" s="1"/>
  <c r="F80" i="10" s="1"/>
  <c r="G80" i="10" s="1"/>
  <c r="H80" i="10" s="1"/>
  <c r="I80" i="10" s="1"/>
  <c r="J80" i="10" s="1"/>
  <c r="K80" i="10" s="1"/>
  <c r="L80" i="10" s="1"/>
  <c r="M80" i="10" s="1"/>
  <c r="N80" i="10" s="1"/>
  <c r="O80" i="10" s="1"/>
  <c r="P80" i="10" s="1"/>
  <c r="Q80" i="10" s="1"/>
  <c r="R80" i="10"/>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c r="Z77" i="10" s="1"/>
  <c r="AA77" i="10" s="1"/>
  <c r="AB77" i="10" s="1"/>
  <c r="B77" i="10"/>
  <c r="AC76" i="10"/>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B75" i="10"/>
  <c r="AC74" i="10"/>
  <c r="C74" i="10" s="1"/>
  <c r="D74" i="10" s="1"/>
  <c r="E74" i="10" s="1"/>
  <c r="F74" i="10"/>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H73" i="10"/>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E73" i="10"/>
  <c r="F73" i="10" s="1"/>
  <c r="G73" i="10" s="1"/>
  <c r="D73" i="10"/>
  <c r="C73" i="10"/>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AC64" i="10"/>
  <c r="Y64" i="10"/>
  <c r="Z64" i="10" s="1"/>
  <c r="AA64" i="10" s="1"/>
  <c r="AB64" i="10" s="1"/>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AC63" i="10"/>
  <c r="C63" i="10" s="1"/>
  <c r="D63" i="10" s="1"/>
  <c r="E63" i="10" s="1"/>
  <c r="F63" i="10" s="1"/>
  <c r="G63" i="10" s="1"/>
  <c r="H63" i="10" s="1"/>
  <c r="I63" i="10" s="1"/>
  <c r="J63" i="10" s="1"/>
  <c r="K63" i="10" s="1"/>
  <c r="L63" i="10" s="1"/>
  <c r="M63" i="10" s="1"/>
  <c r="N63" i="10" s="1"/>
  <c r="O63" i="10" s="1"/>
  <c r="P63" i="10" s="1"/>
  <c r="Q63" i="10" s="1"/>
  <c r="R63" i="10" s="1"/>
  <c r="S63" i="10" s="1"/>
  <c r="T63" i="10"/>
  <c r="U63" i="10" s="1"/>
  <c r="V63" i="10" s="1"/>
  <c r="W63" i="10" s="1"/>
  <c r="X63" i="10" s="1"/>
  <c r="Y63" i="10" s="1"/>
  <c r="Z63" i="10" s="1"/>
  <c r="AA63" i="10" s="1"/>
  <c r="AB63" i="10" s="1"/>
  <c r="B63" i="10"/>
  <c r="AC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F54" i="10"/>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E54" i="10"/>
  <c r="D54" i="10"/>
  <c r="C54" i="10"/>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B48" i="10"/>
  <c r="AC47" i="10"/>
  <c r="L47" i="10"/>
  <c r="M47" i="10" s="1"/>
  <c r="N47" i="10" s="1"/>
  <c r="O47" i="10" s="1"/>
  <c r="P47" i="10" s="1"/>
  <c r="Q47" i="10" s="1"/>
  <c r="R47" i="10" s="1"/>
  <c r="S47" i="10" s="1"/>
  <c r="T47" i="10" s="1"/>
  <c r="U47" i="10" s="1"/>
  <c r="V47" i="10" s="1"/>
  <c r="W47" i="10" s="1"/>
  <c r="X47" i="10" s="1"/>
  <c r="Y47" i="10" s="1"/>
  <c r="Z47" i="10" s="1"/>
  <c r="AA47" i="10" s="1"/>
  <c r="AB47" i="10" s="1"/>
  <c r="K47" i="10"/>
  <c r="B47" i="10"/>
  <c r="C47" i="10" s="1"/>
  <c r="D47" i="10" s="1"/>
  <c r="E47" i="10" s="1"/>
  <c r="F47" i="10" s="1"/>
  <c r="G47" i="10" s="1"/>
  <c r="H47" i="10" s="1"/>
  <c r="I47" i="10" s="1"/>
  <c r="J47" i="10" s="1"/>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C43" i="10" s="1"/>
  <c r="D43" i="10" s="1"/>
  <c r="E43" i="10" s="1"/>
  <c r="F43" i="10" s="1"/>
  <c r="G43" i="10" s="1"/>
  <c r="H43" i="10" s="1"/>
  <c r="I43" i="10" s="1"/>
  <c r="J43" i="10"/>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C42" i="10" s="1"/>
  <c r="D42" i="10" s="1"/>
  <c r="E42" i="10"/>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I41" i="10"/>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C41" i="10" s="1"/>
  <c r="D41" i="10" s="1"/>
  <c r="E41" i="10" s="1"/>
  <c r="F41" i="10" s="1"/>
  <c r="G41" i="10" s="1"/>
  <c r="H41" i="10" s="1"/>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T39" i="10"/>
  <c r="U39" i="10" s="1"/>
  <c r="V39" i="10" s="1"/>
  <c r="W39" i="10" s="1"/>
  <c r="X39" i="10" s="1"/>
  <c r="Y39" i="10" s="1"/>
  <c r="Z39" i="10" s="1"/>
  <c r="AA39" i="10" s="1"/>
  <c r="AB39" i="10" s="1"/>
  <c r="B39" i="10"/>
  <c r="C39" i="10" s="1"/>
  <c r="D39" i="10" s="1"/>
  <c r="E39" i="10" s="1"/>
  <c r="F39" i="10" s="1"/>
  <c r="G39" i="10" s="1"/>
  <c r="H39" i="10" s="1"/>
  <c r="I39" i="10" s="1"/>
  <c r="J39" i="10" s="1"/>
  <c r="K39" i="10" s="1"/>
  <c r="L39" i="10" s="1"/>
  <c r="M39" i="10" s="1"/>
  <c r="N39" i="10" s="1"/>
  <c r="O39" i="10" s="1"/>
  <c r="P39" i="10" s="1"/>
  <c r="Q39" i="10" s="1"/>
  <c r="R39" i="10" s="1"/>
  <c r="S39" i="10" s="1"/>
  <c r="AC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c r="AB38" i="10" s="1"/>
  <c r="B38" i="10"/>
  <c r="AC37" i="10"/>
  <c r="E37" i="10"/>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C37" i="10" s="1"/>
  <c r="D37" i="10" s="1"/>
  <c r="AC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W32" i="10"/>
  <c r="X32" i="10" s="1"/>
  <c r="Y32" i="10" s="1"/>
  <c r="Z32" i="10" s="1"/>
  <c r="AA32" i="10" s="1"/>
  <c r="AB32" i="10" s="1"/>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B32" i="10"/>
  <c r="AC31" i="10"/>
  <c r="F31" i="10"/>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C31" i="10"/>
  <c r="D31" i="10" s="1"/>
  <c r="E31" i="10" s="1"/>
  <c r="B31" i="10"/>
  <c r="AC30" i="10"/>
  <c r="C30" i="10" s="1"/>
  <c r="D30" i="10" s="1"/>
  <c r="E30"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AC27" i="10"/>
  <c r="C27" i="10" s="1"/>
  <c r="D27" i="10" s="1"/>
  <c r="E27" i="10" s="1"/>
  <c r="F27" i="10" s="1"/>
  <c r="G27" i="10" s="1"/>
  <c r="H27" i="10"/>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B26" i="10"/>
  <c r="AC25" i="10"/>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B25" i="10"/>
  <c r="AC24" i="10"/>
  <c r="I24" i="10"/>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C24" i="10" s="1"/>
  <c r="D24" i="10" s="1"/>
  <c r="E24" i="10" s="1"/>
  <c r="F24" i="10" s="1"/>
  <c r="G24" i="10" s="1"/>
  <c r="H24" i="10" s="1"/>
  <c r="AC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AC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D19" i="10"/>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C19" i="10"/>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G17" i="10"/>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E17" i="10"/>
  <c r="F17" i="10" s="1"/>
  <c r="C17" i="10"/>
  <c r="D17" i="10" s="1"/>
  <c r="B17" i="10"/>
  <c r="AC16" i="10"/>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C9" i="10" s="1"/>
  <c r="B9" i="10"/>
  <c r="B4" i="10"/>
  <c r="C9" i="9"/>
  <c r="B9" i="9"/>
  <c r="A9" i="9"/>
  <c r="B1" i="9"/>
  <c r="F54" i="7"/>
  <c r="E54" i="7"/>
  <c r="D54" i="7"/>
  <c r="C54" i="7"/>
  <c r="H53" i="7"/>
  <c r="G53" i="7"/>
  <c r="F53" i="7"/>
  <c r="E53" i="7"/>
  <c r="D53" i="7"/>
  <c r="C53" i="7"/>
  <c r="H52" i="7"/>
  <c r="G52" i="7"/>
  <c r="F52" i="7"/>
  <c r="E52" i="7"/>
  <c r="D52" i="7"/>
  <c r="C52" i="7"/>
  <c r="F51" i="7"/>
  <c r="E51" i="7"/>
  <c r="D51" i="7"/>
  <c r="H51" i="7" s="1"/>
  <c r="C51" i="7"/>
  <c r="F50" i="7"/>
  <c r="E50" i="7"/>
  <c r="D50" i="7"/>
  <c r="G50" i="7" s="1"/>
  <c r="C50" i="7"/>
  <c r="H49" i="7"/>
  <c r="F49" i="7"/>
  <c r="E49" i="7"/>
  <c r="D49" i="7"/>
  <c r="C49" i="7"/>
  <c r="G49" i="7" s="1"/>
  <c r="H48" i="7"/>
  <c r="F48" i="7"/>
  <c r="E48" i="7"/>
  <c r="D48" i="7"/>
  <c r="G48" i="7" s="1"/>
  <c r="C48" i="7"/>
  <c r="F47" i="7"/>
  <c r="E47" i="7"/>
  <c r="D47" i="7"/>
  <c r="C47" i="7"/>
  <c r="F46" i="7"/>
  <c r="E46" i="7"/>
  <c r="D46" i="7"/>
  <c r="H46" i="7" s="1"/>
  <c r="C46" i="7"/>
  <c r="F45" i="7"/>
  <c r="E45" i="7"/>
  <c r="D45" i="7"/>
  <c r="C45" i="7"/>
  <c r="F44" i="7"/>
  <c r="H44" i="7" s="1"/>
  <c r="E44" i="7"/>
  <c r="D44" i="7"/>
  <c r="G44" i="7" s="1"/>
  <c r="C44" i="7"/>
  <c r="F43" i="7"/>
  <c r="E43" i="7"/>
  <c r="D43" i="7"/>
  <c r="C43" i="7"/>
  <c r="F42" i="7"/>
  <c r="H42" i="7" s="1"/>
  <c r="E42" i="7"/>
  <c r="D42" i="7"/>
  <c r="C42" i="7"/>
  <c r="F41" i="7"/>
  <c r="E41" i="7"/>
  <c r="D41" i="7"/>
  <c r="G41" i="7" s="1"/>
  <c r="C41" i="7"/>
  <c r="G40" i="7"/>
  <c r="F40" i="7"/>
  <c r="E40" i="7"/>
  <c r="D40" i="7"/>
  <c r="C40" i="7"/>
  <c r="H40" i="7" s="1"/>
  <c r="F39" i="7"/>
  <c r="E39" i="7"/>
  <c r="D39" i="7"/>
  <c r="C39" i="7"/>
  <c r="H38" i="7"/>
  <c r="G38" i="7"/>
  <c r="F38" i="7"/>
  <c r="E38" i="7"/>
  <c r="D38" i="7"/>
  <c r="C38" i="7"/>
  <c r="F37" i="7"/>
  <c r="E37" i="7"/>
  <c r="D37" i="7"/>
  <c r="C37" i="7"/>
  <c r="H37" i="7" s="1"/>
  <c r="H36" i="7"/>
  <c r="F36" i="7"/>
  <c r="E36" i="7"/>
  <c r="D36" i="7"/>
  <c r="C36" i="7"/>
  <c r="G36" i="7" s="1"/>
  <c r="F35" i="7"/>
  <c r="G35" i="7" s="1"/>
  <c r="E35" i="7"/>
  <c r="D35" i="7"/>
  <c r="H35" i="7" s="1"/>
  <c r="C35" i="7"/>
  <c r="F34" i="7"/>
  <c r="E34" i="7"/>
  <c r="D34" i="7"/>
  <c r="C34" i="7"/>
  <c r="H33" i="7"/>
  <c r="F33" i="7"/>
  <c r="E33" i="7"/>
  <c r="D33" i="7"/>
  <c r="C33" i="7"/>
  <c r="G33" i="7" s="1"/>
  <c r="H32" i="7"/>
  <c r="F32" i="7"/>
  <c r="E32" i="7"/>
  <c r="D32" i="7"/>
  <c r="C32" i="7"/>
  <c r="G32" i="7" s="1"/>
  <c r="F31" i="7"/>
  <c r="E31" i="7"/>
  <c r="H31" i="7" s="1"/>
  <c r="D31" i="7"/>
  <c r="C31" i="7"/>
  <c r="F30" i="7"/>
  <c r="G30" i="7" s="1"/>
  <c r="E30" i="7"/>
  <c r="D30" i="7"/>
  <c r="H30" i="7" s="1"/>
  <c r="C30" i="7"/>
  <c r="H29" i="7"/>
  <c r="G29" i="7"/>
  <c r="F29" i="7"/>
  <c r="E29" i="7"/>
  <c r="D29" i="7"/>
  <c r="C29" i="7"/>
  <c r="H28" i="7"/>
  <c r="F28" i="7"/>
  <c r="E28" i="7"/>
  <c r="D28" i="7"/>
  <c r="G28" i="7" s="1"/>
  <c r="C28" i="7"/>
  <c r="F27" i="7"/>
  <c r="E27" i="7"/>
  <c r="D27" i="7"/>
  <c r="C27" i="7"/>
  <c r="H26" i="7"/>
  <c r="F26" i="7"/>
  <c r="G26" i="7" s="1"/>
  <c r="E26" i="7"/>
  <c r="D26" i="7"/>
  <c r="C26" i="7"/>
  <c r="H25" i="7"/>
  <c r="F25" i="7"/>
  <c r="E25" i="7"/>
  <c r="D25" i="7"/>
  <c r="G25" i="7" s="1"/>
  <c r="C25" i="7"/>
  <c r="F24" i="7"/>
  <c r="E24" i="7"/>
  <c r="D24" i="7"/>
  <c r="C24" i="7"/>
  <c r="F23" i="7"/>
  <c r="E23" i="7"/>
  <c r="D23" i="7"/>
  <c r="C23" i="7"/>
  <c r="F22" i="7"/>
  <c r="E22" i="7"/>
  <c r="D22" i="7"/>
  <c r="H22" i="7" s="1"/>
  <c r="C22" i="7"/>
  <c r="H21" i="7"/>
  <c r="F21" i="7"/>
  <c r="E21" i="7"/>
  <c r="D21" i="7"/>
  <c r="G21" i="7" s="1"/>
  <c r="C21" i="7"/>
  <c r="H20" i="7"/>
  <c r="F20" i="7"/>
  <c r="G20" i="7" s="1"/>
  <c r="E20" i="7"/>
  <c r="D20" i="7"/>
  <c r="C20" i="7"/>
  <c r="F19" i="7"/>
  <c r="E19" i="7"/>
  <c r="D19" i="7"/>
  <c r="C19" i="7"/>
  <c r="F18" i="7"/>
  <c r="E18" i="7"/>
  <c r="D18" i="7"/>
  <c r="G18" i="7" s="1"/>
  <c r="C18" i="7"/>
  <c r="F17" i="7"/>
  <c r="G17" i="7" s="1"/>
  <c r="E17" i="7"/>
  <c r="D17" i="7"/>
  <c r="C17" i="7"/>
  <c r="F16" i="7"/>
  <c r="E16" i="7"/>
  <c r="D16" i="7"/>
  <c r="C16" i="7"/>
  <c r="F15" i="7"/>
  <c r="E15" i="7"/>
  <c r="D15" i="7"/>
  <c r="H15" i="7" s="1"/>
  <c r="C15" i="7"/>
  <c r="F14" i="7"/>
  <c r="E14" i="7"/>
  <c r="D14" i="7"/>
  <c r="C14" i="7"/>
  <c r="H13" i="7"/>
  <c r="F13" i="7"/>
  <c r="E13" i="7"/>
  <c r="D13" i="7"/>
  <c r="C13" i="7"/>
  <c r="G13" i="7" s="1"/>
  <c r="F12" i="7"/>
  <c r="E12" i="7"/>
  <c r="D12" i="7"/>
  <c r="C12" i="7"/>
  <c r="F11" i="7"/>
  <c r="E11" i="7"/>
  <c r="D11" i="7"/>
  <c r="H11" i="7" s="1"/>
  <c r="C11" i="7"/>
  <c r="F10" i="7"/>
  <c r="E10" i="7"/>
  <c r="D10" i="7"/>
  <c r="C10" i="7"/>
  <c r="H9" i="7"/>
  <c r="G9" i="7"/>
  <c r="F9" i="7"/>
  <c r="E9" i="7"/>
  <c r="D9" i="7"/>
  <c r="C9" i="7"/>
  <c r="F8" i="7"/>
  <c r="E8" i="7"/>
  <c r="D8" i="7"/>
  <c r="C8" i="7"/>
  <c r="F7" i="7"/>
  <c r="E7" i="7"/>
  <c r="D7" i="7"/>
  <c r="G7" i="7" s="1"/>
  <c r="C7" i="7"/>
  <c r="B2" i="1"/>
  <c r="B2" i="9" s="1"/>
  <c r="O5" i="9" s="1"/>
  <c r="T5" i="9" l="1"/>
  <c r="U5" i="9"/>
  <c r="V5" i="9"/>
  <c r="X5" i="9"/>
  <c r="W5" i="9"/>
  <c r="Q5" i="9"/>
  <c r="P5" i="9"/>
  <c r="R5" i="9"/>
  <c r="S5" i="9"/>
  <c r="D9" i="10"/>
  <c r="G22" i="7"/>
  <c r="G39" i="7"/>
  <c r="H39" i="7"/>
  <c r="G31" i="7"/>
  <c r="H27" i="7"/>
  <c r="G27" i="7"/>
  <c r="H14" i="7"/>
  <c r="G14" i="7"/>
  <c r="H43" i="7"/>
  <c r="G43" i="7"/>
  <c r="H10" i="7"/>
  <c r="G10" i="7"/>
  <c r="E113" i="10"/>
  <c r="D161" i="10"/>
  <c r="H18" i="7"/>
  <c r="G45" i="7"/>
  <c r="H45" i="7"/>
  <c r="H24" i="7"/>
  <c r="G24" i="7"/>
  <c r="H5" i="9"/>
  <c r="H17" i="7"/>
  <c r="G42" i="7"/>
  <c r="H47" i="7"/>
  <c r="G47" i="7"/>
  <c r="N5" i="9"/>
  <c r="G34" i="7"/>
  <c r="H34" i="7"/>
  <c r="B161" i="10"/>
  <c r="J5" i="9"/>
  <c r="I5" i="9"/>
  <c r="M5" i="9"/>
  <c r="L5" i="9"/>
  <c r="K5" i="9"/>
  <c r="C5" i="9"/>
  <c r="B5" i="9"/>
  <c r="AB5" i="9"/>
  <c r="Y5" i="9"/>
  <c r="AA5" i="9"/>
  <c r="Z5" i="9"/>
  <c r="F5" i="9"/>
  <c r="D5" i="9"/>
  <c r="G23" i="7"/>
  <c r="H23" i="7"/>
  <c r="G15" i="7"/>
  <c r="G54" i="7"/>
  <c r="H54" i="7"/>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G11" i="7"/>
  <c r="H7" i="7"/>
  <c r="G16" i="7"/>
  <c r="H16" i="7"/>
  <c r="B57" i="10"/>
  <c r="H19" i="7"/>
  <c r="G19" i="7"/>
  <c r="B5" i="10"/>
  <c r="G37" i="7"/>
  <c r="H8" i="7"/>
  <c r="G8" i="7"/>
  <c r="G12" i="7"/>
  <c r="H12" i="7"/>
  <c r="G46" i="7"/>
  <c r="H50" i="7"/>
  <c r="E5" i="9"/>
  <c r="H41" i="7"/>
  <c r="G5" i="9"/>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109"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C61" i="10"/>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G51" i="7"/>
  <c r="D9" i="9"/>
  <c r="G9" i="9"/>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F9" i="9" l="1"/>
  <c r="E9" i="9"/>
  <c r="D173" i="10"/>
  <c r="D2" i="13" s="1"/>
  <c r="I9" i="9"/>
  <c r="H9" i="9"/>
  <c r="C161" i="10"/>
  <c r="C173" i="10" s="1"/>
  <c r="C2" i="13" s="1"/>
  <c r="B173" i="10"/>
  <c r="B2" i="13" s="1"/>
  <c r="B172" i="10"/>
  <c r="B2" i="12" s="1"/>
  <c r="B171" i="10"/>
  <c r="B2" i="11" s="1"/>
  <c r="D57" i="10"/>
  <c r="D171" i="10" s="1"/>
  <c r="D2" i="11" s="1"/>
  <c r="E9" i="10"/>
  <c r="F113" i="10"/>
  <c r="E161" i="10"/>
  <c r="E173" i="10" s="1"/>
  <c r="E2" i="13" s="1"/>
  <c r="C109" i="10"/>
  <c r="D61" i="10"/>
  <c r="C172" i="10"/>
  <c r="C2" i="12" s="1"/>
  <c r="C57" i="10"/>
  <c r="C171" i="10" s="1"/>
  <c r="C2" i="11" s="1"/>
  <c r="D109" i="10" l="1"/>
  <c r="D172" i="10" s="1"/>
  <c r="D2" i="12" s="1"/>
  <c r="E61" i="10"/>
  <c r="G113" i="10"/>
  <c r="F161" i="10"/>
  <c r="F173" i="10" s="1"/>
  <c r="F2" i="13" s="1"/>
  <c r="E57" i="10"/>
  <c r="E171" i="10" s="1"/>
  <c r="E2" i="11" s="1"/>
  <c r="F9" i="10"/>
  <c r="H113" i="10" l="1"/>
  <c r="G161" i="10"/>
  <c r="G173" i="10" s="1"/>
  <c r="G2" i="13" s="1"/>
  <c r="F57" i="10"/>
  <c r="F171" i="10" s="1"/>
  <c r="F2" i="11" s="1"/>
  <c r="G9" i="10"/>
  <c r="E109" i="10"/>
  <c r="E172" i="10" s="1"/>
  <c r="E2" i="12" s="1"/>
  <c r="F61" i="10"/>
  <c r="G57" i="10" l="1"/>
  <c r="G171" i="10" s="1"/>
  <c r="G2" i="11" s="1"/>
  <c r="H9" i="10"/>
  <c r="F109" i="10"/>
  <c r="F172" i="10" s="1"/>
  <c r="F2" i="12" s="1"/>
  <c r="G61" i="10"/>
  <c r="I113" i="10"/>
  <c r="H161" i="10"/>
  <c r="H173" i="10" s="1"/>
  <c r="H2" i="13" s="1"/>
  <c r="J113" i="10" l="1"/>
  <c r="I161" i="10"/>
  <c r="I173" i="10" s="1"/>
  <c r="I2" i="13" s="1"/>
  <c r="G109" i="10"/>
  <c r="G172" i="10" s="1"/>
  <c r="G2" i="12" s="1"/>
  <c r="H61" i="10"/>
  <c r="H57" i="10"/>
  <c r="H171" i="10" s="1"/>
  <c r="H2" i="11" s="1"/>
  <c r="I9" i="10"/>
  <c r="J9" i="10" l="1"/>
  <c r="I57" i="10"/>
  <c r="I171" i="10" s="1"/>
  <c r="I2" i="11" s="1"/>
  <c r="J161" i="10"/>
  <c r="J173" i="10" s="1"/>
  <c r="J2" i="13" s="1"/>
  <c r="K113" i="10"/>
  <c r="H109" i="10"/>
  <c r="H172" i="10" s="1"/>
  <c r="H2" i="12" s="1"/>
  <c r="I61" i="10"/>
  <c r="K9" i="10" l="1"/>
  <c r="J57" i="10"/>
  <c r="J171" i="10" s="1"/>
  <c r="J2" i="11" s="1"/>
  <c r="J61" i="10"/>
  <c r="I109" i="10"/>
  <c r="I172" i="10" s="1"/>
  <c r="I2" i="12" s="1"/>
  <c r="L113" i="10"/>
  <c r="K161" i="10"/>
  <c r="K173" i="10" s="1"/>
  <c r="K2" i="13" s="1"/>
  <c r="M113" i="10" l="1"/>
  <c r="L161" i="10"/>
  <c r="L173" i="10" s="1"/>
  <c r="L2" i="13" s="1"/>
  <c r="J109" i="10"/>
  <c r="J172" i="10" s="1"/>
  <c r="J2" i="12" s="1"/>
  <c r="K61" i="10"/>
  <c r="K57" i="10"/>
  <c r="K171" i="10" s="1"/>
  <c r="K2" i="11" s="1"/>
  <c r="L9" i="10"/>
  <c r="M161" i="10" l="1"/>
  <c r="M173" i="10" s="1"/>
  <c r="M2" i="13" s="1"/>
  <c r="N113" i="10"/>
  <c r="K109" i="10"/>
  <c r="K172" i="10" s="1"/>
  <c r="K2" i="12" s="1"/>
  <c r="L61" i="10"/>
  <c r="M9" i="10"/>
  <c r="L57" i="10"/>
  <c r="L171" i="10" s="1"/>
  <c r="L2" i="11" s="1"/>
  <c r="M57" i="10" l="1"/>
  <c r="M171" i="10" s="1"/>
  <c r="M2" i="11" s="1"/>
  <c r="N9" i="10"/>
  <c r="N161" i="10"/>
  <c r="N173" i="10" s="1"/>
  <c r="N2" i="13" s="1"/>
  <c r="O113" i="10"/>
  <c r="M61" i="10"/>
  <c r="L109" i="10"/>
  <c r="L172" i="10" s="1"/>
  <c r="L2" i="12" s="1"/>
  <c r="M109" i="10" l="1"/>
  <c r="M172" i="10" s="1"/>
  <c r="M2" i="12" s="1"/>
  <c r="N61" i="10"/>
  <c r="N57" i="10"/>
  <c r="N171" i="10" s="1"/>
  <c r="N2" i="11" s="1"/>
  <c r="O9" i="10"/>
  <c r="P113" i="10"/>
  <c r="O161" i="10"/>
  <c r="O173" i="10" s="1"/>
  <c r="O2" i="13" s="1"/>
  <c r="O61" i="10" l="1"/>
  <c r="N109" i="10"/>
  <c r="N172" i="10" s="1"/>
  <c r="N2" i="12" s="1"/>
  <c r="P9" i="10"/>
  <c r="O57" i="10"/>
  <c r="O171" i="10" s="1"/>
  <c r="O2" i="11" s="1"/>
  <c r="P161" i="10"/>
  <c r="P173" i="10" s="1"/>
  <c r="P2" i="13" s="1"/>
  <c r="Q113" i="10"/>
  <c r="P57" i="10" l="1"/>
  <c r="P171" i="10" s="1"/>
  <c r="P2" i="11" s="1"/>
  <c r="Q9" i="10"/>
  <c r="Q161" i="10"/>
  <c r="Q173" i="10" s="1"/>
  <c r="Q2" i="13" s="1"/>
  <c r="R113" i="10"/>
  <c r="O109" i="10"/>
  <c r="O172" i="10" s="1"/>
  <c r="O2" i="12" s="1"/>
  <c r="P61" i="10"/>
  <c r="R161" i="10" l="1"/>
  <c r="R173" i="10" s="1"/>
  <c r="R2" i="13" s="1"/>
  <c r="S113" i="10"/>
  <c r="P109" i="10"/>
  <c r="P172" i="10" s="1"/>
  <c r="P2" i="12" s="1"/>
  <c r="Q61" i="10"/>
  <c r="Q57" i="10"/>
  <c r="Q171" i="10" s="1"/>
  <c r="Q2" i="11" s="1"/>
  <c r="R9" i="10"/>
  <c r="Q109" i="10" l="1"/>
  <c r="Q172" i="10" s="1"/>
  <c r="Q2" i="12" s="1"/>
  <c r="R61" i="10"/>
  <c r="R57" i="10"/>
  <c r="R171" i="10" s="1"/>
  <c r="R2" i="11" s="1"/>
  <c r="S9" i="10"/>
  <c r="S161" i="10"/>
  <c r="S173" i="10" s="1"/>
  <c r="S2" i="13" s="1"/>
  <c r="T113" i="10"/>
  <c r="R109" i="10" l="1"/>
  <c r="R172" i="10" s="1"/>
  <c r="R2" i="12" s="1"/>
  <c r="S61" i="10"/>
  <c r="T9" i="10"/>
  <c r="S57" i="10"/>
  <c r="S171" i="10" s="1"/>
  <c r="S2" i="11" s="1"/>
  <c r="T161" i="10"/>
  <c r="T173" i="10" s="1"/>
  <c r="T2" i="13" s="1"/>
  <c r="U113" i="10"/>
  <c r="U9" i="10" l="1"/>
  <c r="T57" i="10"/>
  <c r="T171" i="10" s="1"/>
  <c r="T2" i="11" s="1"/>
  <c r="U161" i="10"/>
  <c r="U173" i="10" s="1"/>
  <c r="U2" i="13" s="1"/>
  <c r="V113" i="10"/>
  <c r="S109" i="10"/>
  <c r="S172" i="10" s="1"/>
  <c r="S2" i="12" s="1"/>
  <c r="T61" i="10"/>
  <c r="V161" i="10" l="1"/>
  <c r="V173" i="10" s="1"/>
  <c r="V2" i="13" s="1"/>
  <c r="W113" i="10"/>
  <c r="U61" i="10"/>
  <c r="T109" i="10"/>
  <c r="T172" i="10" s="1"/>
  <c r="T2" i="12" s="1"/>
  <c r="V9" i="10"/>
  <c r="U57" i="10"/>
  <c r="U171" i="10" s="1"/>
  <c r="U2" i="11" s="1"/>
  <c r="W9" i="10" l="1"/>
  <c r="V57" i="10"/>
  <c r="V171" i="10" s="1"/>
  <c r="V2" i="11" s="1"/>
  <c r="U109" i="10"/>
  <c r="U172" i="10" s="1"/>
  <c r="U2" i="12" s="1"/>
  <c r="V61" i="10"/>
  <c r="W161" i="10"/>
  <c r="W173" i="10" s="1"/>
  <c r="W2" i="13" s="1"/>
  <c r="X113" i="10"/>
  <c r="W61" i="10" l="1"/>
  <c r="V109" i="10"/>
  <c r="V172" i="10" s="1"/>
  <c r="V2" i="12" s="1"/>
  <c r="Y113" i="10"/>
  <c r="X161" i="10"/>
  <c r="X173" i="10" s="1"/>
  <c r="X2" i="13" s="1"/>
  <c r="W57" i="10"/>
  <c r="W171" i="10" s="1"/>
  <c r="W2" i="11" s="1"/>
  <c r="X9" i="10"/>
  <c r="X57" i="10" l="1"/>
  <c r="X171" i="10" s="1"/>
  <c r="X2" i="11" s="1"/>
  <c r="Y9" i="10"/>
  <c r="Y161" i="10"/>
  <c r="Y173" i="10" s="1"/>
  <c r="Y2" i="13" s="1"/>
  <c r="Z113" i="10"/>
  <c r="W109" i="10"/>
  <c r="W172" i="10" s="1"/>
  <c r="W2" i="12" s="1"/>
  <c r="X61" i="10"/>
  <c r="X109" i="10" l="1"/>
  <c r="X172" i="10" s="1"/>
  <c r="X2" i="12" s="1"/>
  <c r="Y61" i="10"/>
  <c r="Z161" i="10"/>
  <c r="Z173" i="10" s="1"/>
  <c r="Z2" i="13" s="1"/>
  <c r="AA113" i="10"/>
  <c r="Y57" i="10"/>
  <c r="Y171" i="10" s="1"/>
  <c r="Y2" i="11" s="1"/>
  <c r="Z9" i="10"/>
  <c r="Z57" i="10" l="1"/>
  <c r="Z171" i="10" s="1"/>
  <c r="Z2" i="11" s="1"/>
  <c r="AA9" i="10"/>
  <c r="AA161" i="10"/>
  <c r="AA173" i="10" s="1"/>
  <c r="AA2" i="13" s="1"/>
  <c r="AB113" i="10"/>
  <c r="AB161" i="10" s="1"/>
  <c r="AB173" i="10" s="1"/>
  <c r="AB2" i="13" s="1"/>
  <c r="Y109" i="10"/>
  <c r="Y172" i="10" s="1"/>
  <c r="Y2" i="12" s="1"/>
  <c r="Z61" i="10"/>
  <c r="AA61" i="10" l="1"/>
  <c r="Z109" i="10"/>
  <c r="Z172" i="10" s="1"/>
  <c r="Z2" i="12" s="1"/>
  <c r="AA57" i="10"/>
  <c r="AA171" i="10" s="1"/>
  <c r="AA2" i="11" s="1"/>
  <c r="AB9" i="10"/>
  <c r="AB57" i="10" s="1"/>
  <c r="AB171" i="10" s="1"/>
  <c r="AB2" i="11" s="1"/>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<sst xmlns="http://schemas.openxmlformats.org/spreadsheetml/2006/main" count="725" uniqueCount="267">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</sst>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5</v>
      </c>
      <c r="C1" s="11">
        <v>46266</v>
      </c>
      <c r="F1" s="1" t="s">
        <v>2</v>
      </c>
      <c r="G1" s="1" t="s">
        <v>3</v>
      </c>
    </row>
    <row r="2" spans="1:7" x14ac:dyDescent="0.45">
      <c r="A2" s="1" t="s">
        <v>4</v>
      </c>
      <c r="B2" t="str">
        <f>INDEX($G$2:$G$49,MATCH($B$1,$F$2:$F$49,0))</f>
        <v>AL</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Alabama</v>
      </c>
    </row>
    <row r="2" spans="1:28" x14ac:dyDescent="0.45">
      <c r="B2" t="str">
        <f>About!B2</f>
        <v>AL</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Alabama</v>
      </c>
    </row>
    <row r="5" spans="1:29" x14ac:dyDescent="0.45">
      <c r="A5" t="s">
        <v>246</v>
      </c>
      <c r="B5" t="str">
        <f>About!$B$2</f>
        <v>AL</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1633355.1274958507</v>
      </c>
      <c r="C171">
        <f>IF('State Calculations'!C$5&lt;&gt;"",B171*(1+'State Calculations'!C$5),IFERROR(INDEX(C9:C56,MATCH($B$5,$A9:$A56,0))/C57*C165,0))</f>
        <v>1839651.5324984039</v>
      </c>
      <c r="D171">
        <f>IF('State Calculations'!D$5&lt;&gt;"",C171*(1+'State Calculations'!D$5),IFERROR(INDEX(D9:D56,MATCH($B$5,$A9:$A56,0))/D57*D165,0))</f>
        <v>2064888.2991205922</v>
      </c>
      <c r="E171">
        <f>IF('State Calculations'!E$5&lt;&gt;"",D171*(1+'State Calculations'!E$5),IFERROR(INDEX(E9:E56,MATCH($B$5,$A9:$A56,0))/E57*E165,0))</f>
        <v>2308164.2089144667</v>
      </c>
      <c r="F171">
        <f>IF('State Calculations'!F$5&lt;&gt;"",E171*(1+'State Calculations'!F$5),IFERROR(INDEX(F9:F56,MATCH($B$5,$A9:$A56,0))/F57*F165,0))</f>
        <v>2566826.8620697688</v>
      </c>
      <c r="G171">
        <f>IF('State Calculations'!G$5&lt;&gt;"",F171*(1+'State Calculations'!G$5),IFERROR(INDEX(G9:G56,MATCH($B$5,$A9:$A56,0))/G57*G165,0))</f>
        <v>2835174.1793478117</v>
      </c>
      <c r="H171">
        <f>IF('State Calculations'!H$5&lt;&gt;"",G171*(1+'State Calculations'!H$5),IFERROR(INDEX(H9:H56,MATCH($B$5,$A9:$A56,0))/H57*H165,0))</f>
        <v>3102210.4868780239</v>
      </c>
      <c r="I171">
        <f>IF('State Calculations'!I$5&lt;&gt;"",H171*(1+'State Calculations'!I$5),IFERROR(INDEX(I9:I56,MATCH($B$5,$A9:$A56,0))/I57*I165,0))</f>
        <v>3164625.7484077662</v>
      </c>
      <c r="J171">
        <f>IF('State Calculations'!J$5&lt;&gt;"",I171*(1+'State Calculations'!J$5),IFERROR(INDEX(J9:J56,MATCH($B$5,$A9:$A56,0))/J57*J165,0))</f>
        <v>3223445.4752994985</v>
      </c>
      <c r="K171">
        <f>IF('State Calculations'!K$5&lt;&gt;"",J171*(1+'State Calculations'!K$5),IFERROR(INDEX(K9:K56,MATCH($B$5,$A9:$A56,0))/K57*K165,0))</f>
        <v>3277609.1901284386</v>
      </c>
      <c r="L171">
        <f>IF('State Calculations'!L$5&lt;&gt;"",K171*(1+'State Calculations'!L$5),IFERROR(INDEX(L9:L56,MATCH($B$5,$A9:$A56,0))/L57*L165,0))</f>
        <v>3325861.7506280057</v>
      </c>
      <c r="M171">
        <f>IF('State Calculations'!M$5&lt;&gt;"",L171*(1+'State Calculations'!M$5),IFERROR(INDEX(M9:M56,MATCH($B$5,$A9:$A56,0))/M57*M165,0))</f>
        <v>3366733.4324521073</v>
      </c>
      <c r="N171">
        <f>IF('State Calculations'!N$5&lt;&gt;"",M171*(1+'State Calculations'!N$5),IFERROR(INDEX(N9:N56,MATCH($B$5,$A9:$A56,0))/N57*N165,0))</f>
        <v>3374663.774308865</v>
      </c>
      <c r="O171">
        <f>IF('State Calculations'!O$5&lt;&gt;"",N171*(1+'State Calculations'!O$5),IFERROR(INDEX(O9:O56,MATCH($B$5,$A9:$A56,0))/O57*O165,0))</f>
        <v>3381878.5493444772</v>
      </c>
      <c r="P171">
        <f>IF('State Calculations'!P$5&lt;&gt;"",O171*(1+'State Calculations'!P$5),IFERROR(INDEX(P9:P56,MATCH($B$5,$A9:$A56,0))/P57*P165,0))</f>
        <v>3388339.3383984771</v>
      </c>
      <c r="Q171">
        <f>IF('State Calculations'!Q$5&lt;&gt;"",P171*(1+'State Calculations'!Q$5),IFERROR(INDEX(Q9:Q56,MATCH($B$5,$A9:$A56,0))/Q57*Q165,0))</f>
        <v>3394006.469576926</v>
      </c>
      <c r="R171">
        <f>IF('State Calculations'!R$5&lt;&gt;"",Q171*(1+'State Calculations'!R$5),IFERROR(INDEX(R9:R56,MATCH($B$5,$A9:$A56,0))/R57*R165,0))</f>
        <v>3398839.0533517785</v>
      </c>
      <c r="S171">
        <f>IF('State Calculations'!S$5&lt;&gt;"",R171*(1+'State Calculations'!S$5),IFERROR(INDEX(S9:S56,MATCH($B$5,$A9:$A56,0))/S57*S165,0))</f>
        <v>3399821.3619440058</v>
      </c>
      <c r="T171">
        <f>IF('State Calculations'!T$5&lt;&gt;"",S171*(1+'State Calculations'!T$5),IFERROR(INDEX(T9:T56,MATCH($B$5,$A9:$A56,0))/T57*T165,0))</f>
        <v>3400745.4311210816</v>
      </c>
      <c r="U171">
        <f>IF('State Calculations'!U$5&lt;&gt;"",T171*(1+'State Calculations'!U$5),IFERROR(INDEX(U9:U56,MATCH($B$5,$A9:$A56,0))/U57*U165,0))</f>
        <v>3401610.538623434</v>
      </c>
      <c r="V171">
        <f>IF('State Calculations'!V$5&lt;&gt;"",U171*(1+'State Calculations'!V$5),IFERROR(INDEX(V9:V56,MATCH($B$5,$A9:$A56,0))/V57*V165,0))</f>
        <v>3402415.9575385163</v>
      </c>
      <c r="W171">
        <f>IF('State Calculations'!W$5&lt;&gt;"",V171*(1+'State Calculations'!W$5),IFERROR(INDEX(W9:W56,MATCH($B$5,$A9:$A56,0))/W57*W165,0))</f>
        <v>3403160.9563852795</v>
      </c>
      <c r="X171">
        <f>IF('State Calculations'!X$5&lt;&gt;"",W171*(1+'State Calculations'!X$5),IFERROR(INDEX(X9:X56,MATCH($B$5,$A9:$A56,0))/X57*X165,0))</f>
        <v>3403331.370821014</v>
      </c>
      <c r="Y171">
        <f>IF('State Calculations'!Y$5&lt;&gt;"",X171*(1+'State Calculations'!Y$5),IFERROR(INDEX(Y9:Y56,MATCH($B$5,$A9:$A56,0))/Y57*Y165,0))</f>
        <v>3403497.9032435571</v>
      </c>
      <c r="Z171">
        <f>IF('State Calculations'!Z$5&lt;&gt;"",Y171*(1+'State Calculations'!Z$5),IFERROR(INDEX(Z9:Z56,MATCH($B$5,$A9:$A56,0))/Z57*Z165,0))</f>
        <v>3403660.5418796209</v>
      </c>
      <c r="AA171">
        <f>IF('State Calculations'!AA$5&lt;&gt;"",Z171*(1+'State Calculations'!AA$5),IFERROR(INDEX(AA9:AA56,MATCH($B$5,$A9:$A56,0))/AA57*AA165,0))</f>
        <v>3403819.274938521</v>
      </c>
      <c r="AB171">
        <f>IF('State Calculations'!AB$5&lt;&gt;"",AA171*(1+'State Calculations'!AB$5),IFERROR(INDEX(AB9:AB56,MATCH($B$5,$A9:$A56,0))/AB57*AB165,0))</f>
        <v>3403974.0906122867</v>
      </c>
    </row>
    <row r="172" spans="1:29" x14ac:dyDescent="0.45">
      <c r="A172" s="1" t="s">
        <v>262</v>
      </c>
      <c r="B172">
        <f>IF('State Calculations'!B$5&lt;&gt;"",A172*(1+'State Calculations'!B$5),IFERROR(INDEX(B61:B108,MATCH($B$5,$A61:$A108,0))/B109*B166,0))</f>
        <v>1633355.1274958507</v>
      </c>
      <c r="C172">
        <f>IF('State Calculations'!C$5&lt;&gt;"",B172*(1+'State Calculations'!C$5),IFERROR(INDEX(C61:C108,MATCH($B$5,$A61:$A108,0))/C109*C166,0))</f>
        <v>1999585.3605363108</v>
      </c>
      <c r="D172">
        <f>IF('State Calculations'!D$5&lt;&gt;"",C172*(1+'State Calculations'!D$5),IFERROR(INDEX(D61:D108,MATCH($B$5,$A61:$A108,0))/D109*D166,0))</f>
        <v>2432297.5381632862</v>
      </c>
      <c r="E172">
        <f>IF('State Calculations'!E$5&lt;&gt;"",D172*(1+'State Calculations'!E$5),IFERROR(INDEX(E61:E108,MATCH($B$5,$A61:$A108,0))/E109*E166,0))</f>
        <v>2936621.8567503933</v>
      </c>
      <c r="F172">
        <f>IF('State Calculations'!F$5&lt;&gt;"",E172*(1+'State Calculations'!F$5),IFERROR(INDEX(F61:F108,MATCH($B$5,$A61:$A108,0))/F109*F166,0))</f>
        <v>3513781.121239746</v>
      </c>
      <c r="G172">
        <f>IF('State Calculations'!G$5&lt;&gt;"",F172*(1+'State Calculations'!G$5),IFERROR(INDEX(G61:G108,MATCH($B$5,$A61:$A108,0))/G109*G166,0))</f>
        <v>4157662.650066636</v>
      </c>
      <c r="H172">
        <f>IF('State Calculations'!H$5&lt;&gt;"",G172*(1+'State Calculations'!H$5),IFERROR(INDEX(H61:H108,MATCH($B$5,$A61:$A108,0))/H109*H166,0))</f>
        <v>4849622.8836103017</v>
      </c>
      <c r="I172">
        <f>IF('State Calculations'!I$5&lt;&gt;"",H172*(1+'State Calculations'!I$5),IFERROR(INDEX(I61:I108,MATCH($B$5,$A61:$A108,0))/I109*I166,0))</f>
        <v>5025262.9128465522</v>
      </c>
      <c r="J172">
        <f>IF('State Calculations'!J$5&lt;&gt;"",I172*(1+'State Calculations'!J$5),IFERROR(INDEX(J61:J108,MATCH($B$5,$A61:$A108,0))/J109*J166,0))</f>
        <v>5196348.4796902044</v>
      </c>
      <c r="K172">
        <f>IF('State Calculations'!K$5&lt;&gt;"",J172*(1+'State Calculations'!K$5),IFERROR(INDEX(K61:K108,MATCH($B$5,$A61:$A108,0))/K109*K166,0))</f>
        <v>5360676.4545272822</v>
      </c>
      <c r="L172">
        <f>IF('State Calculations'!L$5&lt;&gt;"",K172*(1+'State Calculations'!L$5),IFERROR(INDEX(L61:L108,MATCH($B$5,$A61:$A108,0))/L109*L166,0))</f>
        <v>5515713.368569064</v>
      </c>
      <c r="M172">
        <f>IF('State Calculations'!M$5&lt;&gt;"",L172*(1+'State Calculations'!M$5),IFERROR(INDEX(M61:M108,MATCH($B$5,$A61:$A108,0))/M109*M166,0))</f>
        <v>5658585.6691764547</v>
      </c>
      <c r="N172">
        <f>IF('State Calculations'!N$5&lt;&gt;"",M172*(1+'State Calculations'!N$5),IFERROR(INDEX(N61:N108,MATCH($B$5,$A61:$A108,0))/N109*N166,0))</f>
        <v>5690048.946262964</v>
      </c>
      <c r="O172">
        <f>IF('State Calculations'!O$5&lt;&gt;"",N172*(1+'State Calculations'!O$5),IFERROR(INDEX(O61:O108,MATCH($B$5,$A61:$A108,0))/O109*O166,0))</f>
        <v>5720233.3702093437</v>
      </c>
      <c r="P172">
        <f>IF('State Calculations'!P$5&lt;&gt;"",O172*(1+'State Calculations'!P$5),IFERROR(INDEX(P61:P108,MATCH($B$5,$A61:$A108,0))/P109*P166,0))</f>
        <v>5749068.0760836694</v>
      </c>
      <c r="Q172">
        <f>IF('State Calculations'!Q$5&lt;&gt;"",P172*(1+'State Calculations'!Q$5),IFERROR(INDEX(Q61:Q108,MATCH($B$5,$A61:$A108,0))/Q109*Q166,0))</f>
        <v>5776480.6033226466</v>
      </c>
      <c r="R172">
        <f>IF('State Calculations'!R$5&lt;&gt;"",Q172*(1+'State Calculations'!R$5),IFERROR(INDEX(R61:R108,MATCH($B$5,$A61:$A108,0))/R109*R166,0))</f>
        <v>5802396.9944875613</v>
      </c>
      <c r="S172">
        <f>IF('State Calculations'!S$5&lt;&gt;"",R172*(1+'State Calculations'!S$5),IFERROR(INDEX(S61:S108,MATCH($B$5,$A61:$A108,0))/S109*S166,0))</f>
        <v>5808436.6080636745</v>
      </c>
      <c r="T172">
        <f>IF('State Calculations'!T$5&lt;&gt;"",S172*(1+'State Calculations'!T$5),IFERROR(INDEX(T61:T108,MATCH($B$5,$A61:$A108,0))/T109*T166,0))</f>
        <v>5814370.8010708224</v>
      </c>
      <c r="U172">
        <f>IF('State Calculations'!U$5&lt;&gt;"",T172*(1+'State Calculations'!U$5),IFERROR(INDEX(U61:U108,MATCH($B$5,$A61:$A108,0))/U109*U166,0))</f>
        <v>5820198.2878030734</v>
      </c>
      <c r="V172">
        <f>IF('State Calculations'!V$5&lt;&gt;"",U172*(1+'State Calculations'!V$5),IFERROR(INDEX(V61:V108,MATCH($B$5,$A61:$A108,0))/V109*V166,0))</f>
        <v>5825917.7774281735</v>
      </c>
      <c r="W172">
        <f>IF('State Calculations'!W$5&lt;&gt;"",V172*(1+'State Calculations'!W$5),IFERROR(INDEX(W61:W108,MATCH($B$5,$A61:$A108,0))/W109*W166,0))</f>
        <v>5831527.9741595583</v>
      </c>
      <c r="X172">
        <f>IF('State Calculations'!X$5&lt;&gt;"",W172*(1+'State Calculations'!X$5),IFERROR(INDEX(X61:X108,MATCH($B$5,$A61:$A108,0))/X109*X166,0))</f>
        <v>5832899.5121298926</v>
      </c>
      <c r="Y172">
        <f>IF('State Calculations'!Y$5&lt;&gt;"",X172*(1+'State Calculations'!Y$5),IFERROR(INDEX(Y61:Y108,MATCH($B$5,$A61:$A108,0))/Y109*Y166,0))</f>
        <v>5834264.0140814381</v>
      </c>
      <c r="Z172">
        <f>IF('State Calculations'!Z$5&lt;&gt;"",Y172*(1+'State Calculations'!Z$5),IFERROR(INDEX(Z61:Z108,MATCH($B$5,$A61:$A108,0))/Z109*Z166,0))</f>
        <v>5835621.4592394438</v>
      </c>
      <c r="AA172">
        <f>IF('State Calculations'!AA$5&lt;&gt;"",Z172*(1+'State Calculations'!AA$5),IFERROR(INDEX(AA61:AA108,MATCH($B$5,$A61:$A108,0))/AA109*AA166,0))</f>
        <v>5836971.8268110687</v>
      </c>
      <c r="AB172">
        <f>IF('State Calculations'!AB$5&lt;&gt;"",AA172*(1+'State Calculations'!AB$5),IFERROR(INDEX(AB61:AB108,MATCH($B$5,$A61:$A108,0))/AB109*AB166,0))</f>
        <v>5838315.0959855653</v>
      </c>
    </row>
    <row r="173" spans="1:29" x14ac:dyDescent="0.45">
      <c r="A173" s="1" t="s">
        <v>263</v>
      </c>
      <c r="B173">
        <f>IF('State Calculations'!B$5&lt;&gt;"",A173*(1+'State Calculations'!B$5),IFERROR(INDEX(B113:B160,MATCH($B$5,$A113:$A160,0))/B161*B167,0))</f>
        <v>1633355.1274958507</v>
      </c>
      <c r="C173">
        <f>IF('State Calculations'!C$5&lt;&gt;"",B173*(1+'State Calculations'!C$5),IFERROR(INDEX(C113:C160,MATCH($B$5,$A113:$A160,0))/C161*C167,0))</f>
        <v>2069931.2425281641</v>
      </c>
      <c r="D173">
        <f>IF('State Calculations'!D$5&lt;&gt;"",C173*(1+'State Calculations'!D$5),IFERROR(INDEX(D113:D160,MATCH($B$5,$A113:$A160,0))/D161*D167,0))</f>
        <v>2603601.2227789112</v>
      </c>
      <c r="E173">
        <f>IF('State Calculations'!E$5&lt;&gt;"",D173*(1+'State Calculations'!E$5),IFERROR(INDEX(E113:E160,MATCH($B$5,$A113:$A160,0))/E161*E167,0))</f>
        <v>3247024.2673800136</v>
      </c>
      <c r="F173">
        <f>IF('State Calculations'!F$5&lt;&gt;"",E173*(1+'State Calculations'!F$5),IFERROR(INDEX(F113:F160,MATCH($B$5,$A113:$A160,0))/F161*F167,0))</f>
        <v>4008955.6152173802</v>
      </c>
      <c r="G173">
        <f>IF('State Calculations'!G$5&lt;&gt;"",F173*(1+'State Calculations'!G$5),IFERROR(INDEX(G113:G160,MATCH($B$5,$A113:$A160,0))/G161*G167,0))</f>
        <v>4889373.3740040157</v>
      </c>
      <c r="H173">
        <f>IF('State Calculations'!H$5&lt;&gt;"",G173*(1+'State Calculations'!H$5),IFERROR(INDEX(H113:H160,MATCH($B$5,$A113:$A160,0))/H161*H167,0))</f>
        <v>5871724.231628526</v>
      </c>
      <c r="I173">
        <f>IF('State Calculations'!I$5&lt;&gt;"",H173*(1+'State Calculations'!I$5),IFERROR(INDEX(I113:I160,MATCH($B$5,$A113:$A160,0))/I161*I167,0))</f>
        <v>6131027.0249217898</v>
      </c>
      <c r="J173">
        <f>IF('State Calculations'!J$5&lt;&gt;"",I173*(1+'State Calculations'!J$5),IFERROR(INDEX(J113:J160,MATCH($B$5,$A113:$A160,0))/J161*J167,0))</f>
        <v>6386496.5896428917</v>
      </c>
      <c r="K173">
        <f>IF('State Calculations'!K$5&lt;&gt;"",J173*(1+'State Calculations'!K$5),IFERROR(INDEX(K113:K160,MATCH($B$5,$A113:$A160,0))/K161*K167,0))</f>
        <v>6634869.7663024003</v>
      </c>
      <c r="L173">
        <f>IF('State Calculations'!L$5&lt;&gt;"",K173*(1+'State Calculations'!L$5),IFERROR(INDEX(L113:L160,MATCH($B$5,$A113:$A160,0))/L161*L167,0))</f>
        <v>6872337.7776666135</v>
      </c>
      <c r="M173">
        <f>IF('State Calculations'!M$5&lt;&gt;"",L173*(1+'State Calculations'!M$5),IFERROR(INDEX(M113:M160,MATCH($B$5,$A113:$A160,0))/M161*M167,0))</f>
        <v>7094526.8782442762</v>
      </c>
      <c r="N173">
        <f>IF('State Calculations'!N$5&lt;&gt;"",M173*(1+'State Calculations'!N$5),IFERROR(INDEX(N113:N160,MATCH($B$5,$A113:$A160,0))/N161*N167,0))</f>
        <v>7144102.2650985159</v>
      </c>
      <c r="O173">
        <f>IF('State Calculations'!O$5&lt;&gt;"",N173*(1+'State Calculations'!O$5),IFERROR(INDEX(O113:O160,MATCH($B$5,$A113:$A160,0))/O161*O167,0))</f>
        <v>7191884.8130500419</v>
      </c>
      <c r="P173">
        <f>IF('State Calculations'!P$5&lt;&gt;"",O173*(1+'State Calculations'!P$5),IFERROR(INDEX(P113:P160,MATCH($B$5,$A113:$A160,0))/P161*P167,0))</f>
        <v>7237761.1331889378</v>
      </c>
      <c r="Q173">
        <f>IF('State Calculations'!Q$5&lt;&gt;"",P173*(1+'State Calculations'!Q$5),IFERROR(INDEX(Q113:Q160,MATCH($B$5,$A113:$A160,0))/Q161*Q167,0))</f>
        <v>7281615.1466047792</v>
      </c>
      <c r="R173">
        <f>IF('State Calculations'!R$5&lt;&gt;"",Q173*(1+'State Calculations'!R$5),IFERROR(INDEX(R113:R160,MATCH($B$5,$A113:$A160,0))/R161*R167,0))</f>
        <v>7323328.2702114135</v>
      </c>
      <c r="S173">
        <f>IF('State Calculations'!S$5&lt;&gt;"",R173*(1+'State Calculations'!S$5),IFERROR(INDEX(S113:S160,MATCH($B$5,$A113:$A160,0))/S161*S167,0))</f>
        <v>7333091.0844260696</v>
      </c>
      <c r="T173">
        <f>IF('State Calculations'!T$5&lt;&gt;"",S173*(1+'State Calculations'!T$5),IFERROR(INDEX(T113:T160,MATCH($B$5,$A113:$A160,0))/T161*T167,0))</f>
        <v>7342700.142823793</v>
      </c>
      <c r="U173">
        <f>IF('State Calculations'!U$5&lt;&gt;"",T173*(1+'State Calculations'!U$5),IFERROR(INDEX(U113:U160,MATCH($B$5,$A113:$A160,0))/U161*U167,0))</f>
        <v>7352153.3630853649</v>
      </c>
      <c r="V173">
        <f>IF('State Calculations'!V$5&lt;&gt;"",U173*(1+'State Calculations'!V$5),IFERROR(INDEX(V113:V160,MATCH($B$5,$A113:$A160,0))/V161*V167,0))</f>
        <v>7361448.6546052573</v>
      </c>
      <c r="W173">
        <f>IF('State Calculations'!W$5&lt;&gt;"",V173*(1+'State Calculations'!W$5),IFERROR(INDEX(W113:W160,MATCH($B$5,$A113:$A160,0))/W161*W167,0))</f>
        <v>7370583.9188235495</v>
      </c>
      <c r="X173">
        <f>IF('State Calculations'!X$5&lt;&gt;"",W173*(1+'State Calculations'!X$5),IFERROR(INDEX(X113:X160,MATCH($B$5,$A113:$A160,0))/X161*X167,0))</f>
        <v>7372820.0275447452</v>
      </c>
      <c r="Y173">
        <f>IF('State Calculations'!Y$5&lt;&gt;"",X173*(1+'State Calculations'!Y$5),IFERROR(INDEX(Y113:Y160,MATCH($B$5,$A113:$A160,0))/Y161*Y167,0))</f>
        <v>7375045.7878293423</v>
      </c>
      <c r="Z173">
        <f>IF('State Calculations'!Z$5&lt;&gt;"",Y173*(1+'State Calculations'!Z$5),IFERROR(INDEX(Z113:Z160,MATCH($B$5,$A113:$A160,0))/Z161*Z167,0))</f>
        <v>7377261.1659563305</v>
      </c>
      <c r="AA173">
        <f>IF('State Calculations'!AA$5&lt;&gt;"",Z173*(1+'State Calculations'!AA$5),IFERROR(INDEX(AA113:AA160,MATCH($B$5,$A113:$A160,0))/AA161*AA167,0))</f>
        <v>7379466.1281762319</v>
      </c>
      <c r="AB173">
        <f>IF('State Calculations'!AB$5&lt;&gt;"",AA173*(1+'State Calculations'!AB$5),IFERROR(INDEX(AB113:AB160,MATCH($B$5,$A113:$A160,0))/AB161*AB167,0))</f>
        <v>7381660.6407114798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1633355.1274958507</v>
      </c>
      <c r="C2">
        <f>Calcs!C171</f>
        <v>1839651.5324984039</v>
      </c>
      <c r="D2">
        <f>Calcs!D171</f>
        <v>2064888.2991205922</v>
      </c>
      <c r="E2">
        <f>Calcs!E171</f>
        <v>2308164.2089144667</v>
      </c>
      <c r="F2">
        <f>Calcs!F171</f>
        <v>2566826.8620697688</v>
      </c>
      <c r="G2">
        <f>Calcs!G171</f>
        <v>2835174.1793478117</v>
      </c>
      <c r="H2">
        <f>Calcs!H171</f>
        <v>3102210.4868780239</v>
      </c>
      <c r="I2">
        <f>Calcs!I171</f>
        <v>3164625.7484077662</v>
      </c>
      <c r="J2">
        <f>Calcs!J171</f>
        <v>3223445.4752994985</v>
      </c>
      <c r="K2">
        <f>Calcs!K171</f>
        <v>3277609.1901284386</v>
      </c>
      <c r="L2">
        <f>Calcs!L171</f>
        <v>3325861.7506280057</v>
      </c>
      <c r="M2">
        <f>Calcs!M171</f>
        <v>3366733.4324521073</v>
      </c>
      <c r="N2">
        <f>Calcs!N171</f>
        <v>3374663.774308865</v>
      </c>
      <c r="O2">
        <f>Calcs!O171</f>
        <v>3381878.5493444772</v>
      </c>
      <c r="P2">
        <f>Calcs!P171</f>
        <v>3388339.3383984771</v>
      </c>
      <c r="Q2">
        <f>Calcs!Q171</f>
        <v>3394006.469576926</v>
      </c>
      <c r="R2">
        <f>Calcs!R171</f>
        <v>3398839.0533517785</v>
      </c>
      <c r="S2">
        <f>Calcs!S171</f>
        <v>3399821.3619440058</v>
      </c>
      <c r="T2">
        <f>Calcs!T171</f>
        <v>3400745.4311210816</v>
      </c>
      <c r="U2">
        <f>Calcs!U171</f>
        <v>3401610.538623434</v>
      </c>
      <c r="V2">
        <f>Calcs!V171</f>
        <v>3402415.9575385163</v>
      </c>
      <c r="W2">
        <f>Calcs!W171</f>
        <v>3403160.9563852795</v>
      </c>
      <c r="X2">
        <f>Calcs!X171</f>
        <v>3403331.370821014</v>
      </c>
      <c r="Y2">
        <f>Calcs!Y171</f>
        <v>3403497.9032435571</v>
      </c>
      <c r="Z2">
        <f>Calcs!Z171</f>
        <v>3403660.5418796209</v>
      </c>
      <c r="AA2">
        <f>Calcs!AA171</f>
        <v>3403819.274938521</v>
      </c>
      <c r="AB2">
        <f>Calcs!AB171</f>
        <v>3403974.0906122867</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1633355.1274958507</v>
      </c>
      <c r="C2">
        <f>Calcs!C172</f>
        <v>1999585.3605363108</v>
      </c>
      <c r="D2">
        <f>Calcs!D172</f>
        <v>2432297.5381632862</v>
      </c>
      <c r="E2">
        <f>Calcs!E172</f>
        <v>2936621.8567503933</v>
      </c>
      <c r="F2">
        <f>Calcs!F172</f>
        <v>3513781.121239746</v>
      </c>
      <c r="G2">
        <f>Calcs!G172</f>
        <v>4157662.650066636</v>
      </c>
      <c r="H2">
        <f>Calcs!H172</f>
        <v>4849622.8836103017</v>
      </c>
      <c r="I2">
        <f>Calcs!I172</f>
        <v>5025262.9128465522</v>
      </c>
      <c r="J2">
        <f>Calcs!J172</f>
        <v>5196348.4796902044</v>
      </c>
      <c r="K2">
        <f>Calcs!K172</f>
        <v>5360676.4545272822</v>
      </c>
      <c r="L2">
        <f>Calcs!L172</f>
        <v>5515713.368569064</v>
      </c>
      <c r="M2">
        <f>Calcs!M172</f>
        <v>5658585.6691764547</v>
      </c>
      <c r="N2">
        <f>Calcs!N172</f>
        <v>5690048.946262964</v>
      </c>
      <c r="O2">
        <f>Calcs!O172</f>
        <v>5720233.3702093437</v>
      </c>
      <c r="P2">
        <f>Calcs!P172</f>
        <v>5749068.0760836694</v>
      </c>
      <c r="Q2">
        <f>Calcs!Q172</f>
        <v>5776480.6033226466</v>
      </c>
      <c r="R2">
        <f>Calcs!R172</f>
        <v>5802396.9944875613</v>
      </c>
      <c r="S2">
        <f>Calcs!S172</f>
        <v>5808436.6080636745</v>
      </c>
      <c r="T2">
        <f>Calcs!T172</f>
        <v>5814370.8010708224</v>
      </c>
      <c r="U2">
        <f>Calcs!U172</f>
        <v>5820198.2878030734</v>
      </c>
      <c r="V2">
        <f>Calcs!V172</f>
        <v>5825917.7774281735</v>
      </c>
      <c r="W2">
        <f>Calcs!W172</f>
        <v>5831527.9741595583</v>
      </c>
      <c r="X2">
        <f>Calcs!X172</f>
        <v>5832899.5121298926</v>
      </c>
      <c r="Y2">
        <f>Calcs!Y172</f>
        <v>5834264.0140814381</v>
      </c>
      <c r="Z2">
        <f>Calcs!Z172</f>
        <v>5835621.4592394438</v>
      </c>
      <c r="AA2">
        <f>Calcs!AA172</f>
        <v>5836971.8268110687</v>
      </c>
      <c r="AB2">
        <f>Calcs!AB172</f>
        <v>5838315.0959855653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1633355.1274958507</v>
      </c>
      <c r="C2">
        <f>Calcs!C173</f>
        <v>2069931.2425281641</v>
      </c>
      <c r="D2">
        <f>Calcs!D173</f>
        <v>2603601.2227789112</v>
      </c>
      <c r="E2">
        <f>Calcs!E173</f>
        <v>3247024.2673800136</v>
      </c>
      <c r="F2">
        <f>Calcs!F173</f>
        <v>4008955.6152173802</v>
      </c>
      <c r="G2">
        <f>Calcs!G173</f>
        <v>4889373.3740040157</v>
      </c>
      <c r="H2">
        <f>Calcs!H173</f>
        <v>5871724.231628526</v>
      </c>
      <c r="I2">
        <f>Calcs!I173</f>
        <v>6131027.0249217898</v>
      </c>
      <c r="J2">
        <f>Calcs!J173</f>
        <v>6386496.5896428917</v>
      </c>
      <c r="K2">
        <f>Calcs!K173</f>
        <v>6634869.7663024003</v>
      </c>
      <c r="L2">
        <f>Calcs!L173</f>
        <v>6872337.7776666135</v>
      </c>
      <c r="M2">
        <f>Calcs!M173</f>
        <v>7094526.8782442762</v>
      </c>
      <c r="N2">
        <f>Calcs!N173</f>
        <v>7144102.2650985159</v>
      </c>
      <c r="O2">
        <f>Calcs!O173</f>
        <v>7191884.8130500419</v>
      </c>
      <c r="P2">
        <f>Calcs!P173</f>
        <v>7237761.1331889378</v>
      </c>
      <c r="Q2">
        <f>Calcs!Q173</f>
        <v>7281615.1466047792</v>
      </c>
      <c r="R2">
        <f>Calcs!R173</f>
        <v>7323328.2702114135</v>
      </c>
      <c r="S2">
        <f>Calcs!S173</f>
        <v>7333091.0844260696</v>
      </c>
      <c r="T2">
        <f>Calcs!T173</f>
        <v>7342700.142823793</v>
      </c>
      <c r="U2">
        <f>Calcs!U173</f>
        <v>7352153.3630853649</v>
      </c>
      <c r="V2">
        <f>Calcs!V173</f>
        <v>7361448.6546052573</v>
      </c>
      <c r="W2">
        <f>Calcs!W173</f>
        <v>7370583.9188235495</v>
      </c>
      <c r="X2">
        <f>Calcs!X173</f>
        <v>7372820.0275447452</v>
      </c>
      <c r="Y2">
        <f>Calcs!Y173</f>
        <v>7375045.7878293423</v>
      </c>
      <c r="Z2">
        <f>Calcs!Z173</f>
        <v>7377261.1659563305</v>
      </c>
      <c r="AA2">
        <f>Calcs!AA173</f>
        <v>7379466.1281762319</v>
      </c>
      <c r="AB2">
        <f>Calcs!AB173</f>
        <v>7381660.6407114798</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2026-09-01T22:21:30Z</dcterms:modified>
</cp:coreProperties>
</file>