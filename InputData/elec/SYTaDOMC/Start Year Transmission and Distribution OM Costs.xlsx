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SYTaDOMC\"/>
    </mc:Choice>
  </mc:AlternateContent>
  <xr:revisionPtr revIDLastSave="0" documentId="13_ncr:1_{645E936C-23B6-421C-8F9B-047F8CE39B25}" xr6:coauthVersionLast="47" xr6:coauthVersionMax="47" xr10:uidLastSave="{00000000-0000-0000-0000-000000000000}"/>
  <bookViews>
    <workbookView xWindow="720" yWindow="720" windowWidth="14400" windowHeight="7455" firstSheet="3" activeTab="3" xr2:uid="{00000000-000D-0000-FFFF-FFFF00000000}"/>
  </bookViews>
  <sheets>
    <sheet name="About" sheetId="1" r:id="rId1"/>
    <sheet name="HIFLD Outputs" sheetId="2" r:id="rId2"/>
    <sheet name="Data National" sheetId="3" r:id="rId3"/>
    <sheet name="SYTaDOMC-Transmission" sheetId="4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B38" i="3"/>
  <c r="B37" i="3"/>
  <c r="B17" i="3"/>
  <c r="B11" i="3"/>
  <c r="B10" i="3"/>
  <c r="B12" i="3" s="1"/>
  <c r="B34" i="3" s="1"/>
  <c r="C34" i="3" s="1"/>
  <c r="D34" i="3" s="1"/>
  <c r="E34" i="3" s="1"/>
  <c r="F34" i="3" s="1"/>
  <c r="G34" i="3" s="1"/>
  <c r="D53" i="2"/>
  <c r="F50" i="2" s="1"/>
  <c r="F51" i="2"/>
  <c r="F45" i="2"/>
  <c r="F44" i="2"/>
  <c r="F43" i="2"/>
  <c r="F37" i="2"/>
  <c r="F36" i="2"/>
  <c r="F35" i="2"/>
  <c r="F29" i="2"/>
  <c r="F28" i="2"/>
  <c r="F27" i="2"/>
  <c r="F21" i="2"/>
  <c r="F20" i="2"/>
  <c r="F19" i="2"/>
  <c r="F13" i="2"/>
  <c r="F12" i="2"/>
  <c r="F11" i="2"/>
  <c r="F5" i="2"/>
  <c r="F4" i="2"/>
  <c r="F3" i="2"/>
  <c r="B2" i="1"/>
  <c r="H34" i="3" l="1"/>
  <c r="I34" i="3" s="1"/>
  <c r="J34" i="3" s="1"/>
  <c r="K34" i="3" s="1"/>
  <c r="L34" i="3" s="1"/>
  <c r="M34" i="3" s="1"/>
  <c r="N34" i="3" s="1"/>
  <c r="O34" i="3" s="1"/>
  <c r="F30" i="2"/>
  <c r="F38" i="2"/>
  <c r="F46" i="2"/>
  <c r="F6" i="2"/>
  <c r="F7" i="2"/>
  <c r="F15" i="2"/>
  <c r="F23" i="2"/>
  <c r="F31" i="2"/>
  <c r="F39" i="2"/>
  <c r="F47" i="2"/>
  <c r="C42" i="3"/>
  <c r="F14" i="2"/>
  <c r="F8" i="2"/>
  <c r="F24" i="2"/>
  <c r="J42" i="3" s="1"/>
  <c r="F32" i="2"/>
  <c r="F40" i="2"/>
  <c r="F22" i="2"/>
  <c r="F16" i="2"/>
  <c r="F48" i="2"/>
  <c r="F9" i="2"/>
  <c r="F17" i="2"/>
  <c r="F25" i="2"/>
  <c r="F33" i="2"/>
  <c r="F41" i="2"/>
  <c r="F49" i="2"/>
  <c r="F2" i="2"/>
  <c r="F10" i="2"/>
  <c r="F18" i="2"/>
  <c r="F26" i="2"/>
  <c r="F34" i="2"/>
  <c r="F42" i="2"/>
  <c r="B42" i="3" l="1"/>
  <c r="K42" i="3"/>
  <c r="F53" i="2"/>
  <c r="N42" i="3"/>
  <c r="B44" i="3"/>
  <c r="B2" i="5" s="1"/>
  <c r="H42" i="3"/>
  <c r="F42" i="3"/>
  <c r="M42" i="3"/>
  <c r="I42" i="3"/>
  <c r="B43" i="3"/>
  <c r="B2" i="4" s="1"/>
  <c r="E42" i="3"/>
  <c r="G42" i="3"/>
  <c r="L42" i="3"/>
  <c r="D42" i="3"/>
  <c r="P34" i="3"/>
  <c r="O42" i="3"/>
  <c r="Q34" i="3" l="1"/>
  <c r="P42" i="3"/>
  <c r="R34" i="3" l="1"/>
  <c r="Q42" i="3"/>
  <c r="S34" i="3" l="1"/>
  <c r="R42" i="3"/>
  <c r="T34" i="3" l="1"/>
  <c r="S42" i="3"/>
  <c r="U34" i="3" l="1"/>
  <c r="T42" i="3"/>
  <c r="V34" i="3" l="1"/>
  <c r="U42" i="3"/>
  <c r="W34" i="3" l="1"/>
  <c r="V42" i="3"/>
  <c r="W42" i="3" l="1"/>
  <c r="X34" i="3"/>
  <c r="Y34" i="3" l="1"/>
  <c r="X42" i="3"/>
  <c r="Z34" i="3" l="1"/>
  <c r="Y42" i="3"/>
  <c r="AA34" i="3" l="1"/>
  <c r="Z42" i="3"/>
  <c r="AB34" i="3" l="1"/>
  <c r="AA42" i="3"/>
  <c r="AC34" i="3" l="1"/>
  <c r="AB42" i="3"/>
  <c r="AD34" i="3" l="1"/>
  <c r="AC42" i="3"/>
  <c r="AE34" i="3" l="1"/>
  <c r="AD42" i="3"/>
  <c r="AF34" i="3" l="1"/>
  <c r="AE42" i="3"/>
  <c r="AG34" i="3" l="1"/>
  <c r="AF42" i="3"/>
  <c r="AH34" i="3" l="1"/>
  <c r="AG42" i="3"/>
  <c r="AI34" i="3" l="1"/>
  <c r="AH42" i="3"/>
  <c r="AJ34" i="3" l="1"/>
  <c r="AI42" i="3"/>
  <c r="AK34" i="3" l="1"/>
  <c r="AJ42" i="3"/>
  <c r="AL34" i="3" l="1"/>
  <c r="AK42" i="3"/>
  <c r="AM34" i="3" l="1"/>
  <c r="AL42" i="3"/>
  <c r="AN34" i="3" l="1"/>
  <c r="AM42" i="3"/>
  <c r="AO34" i="3" l="1"/>
  <c r="AN42" i="3"/>
  <c r="AP34" i="3" l="1"/>
  <c r="AP42" i="3" s="1"/>
  <c r="AO42" i="3"/>
</calcChain>
</file>

<file path=xl/sharedStrings.xml><?xml version="1.0" encoding="utf-8"?>
<sst xmlns="http://schemas.openxmlformats.org/spreadsheetml/2006/main" count="263" uniqueCount="149">
  <si>
    <t>SYTaDOMC Start Year Transmission and Distribution OM Costs</t>
  </si>
  <si>
    <t>Alabama</t>
  </si>
  <si>
    <t>AL</t>
  </si>
  <si>
    <t>Alaska</t>
  </si>
  <si>
    <t>AK</t>
  </si>
  <si>
    <t>Sources:</t>
  </si>
  <si>
    <t>Transmission O&amp;M Spending</t>
  </si>
  <si>
    <t>Arizona</t>
  </si>
  <si>
    <t>AZ</t>
  </si>
  <si>
    <t>U.S. Energy Information Administration</t>
  </si>
  <si>
    <t>Arkansas</t>
  </si>
  <si>
    <t>AR</t>
  </si>
  <si>
    <t>California</t>
  </si>
  <si>
    <t>CA</t>
  </si>
  <si>
    <t>Utilities continue to increase spending on the electric transmission system</t>
  </si>
  <si>
    <t>Colorado</t>
  </si>
  <si>
    <t>CO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</si>
  <si>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</si>
  <si>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Connecticut</t>
  </si>
  <si>
    <t>CT</t>
  </si>
  <si>
    <t>First paragraph</t>
  </si>
  <si>
    <t>Delaware</t>
  </si>
  <si>
    <t>DE</t>
  </si>
  <si>
    <t>Florida</t>
  </si>
  <si>
    <t>FL</t>
  </si>
  <si>
    <t>Distribution O&amp;M Spending</t>
  </si>
  <si>
    <t>Georgia</t>
  </si>
  <si>
    <t>GA</t>
  </si>
  <si>
    <t>Hawaii</t>
  </si>
  <si>
    <t>HI</t>
  </si>
  <si>
    <t>Idaho</t>
  </si>
  <si>
    <t>ID</t>
  </si>
  <si>
    <t>Major utilities' spending on the electric distribution system continues to increase</t>
  </si>
  <si>
    <t>Illinois</t>
  </si>
  <si>
    <t>IL</t>
  </si>
  <si>
    <t>https://www.eia.gov/todayinenergy/detail.php?id=48136#:~:text=Annual%20spending%20on%20electricity%20distribution,2000%20after%20adjusting%20for%20inflation.</t>
  </si>
  <si>
    <t>Indiana</t>
  </si>
  <si>
    <t>IN</t>
  </si>
  <si>
    <t>Iowa</t>
  </si>
  <si>
    <t>IA</t>
  </si>
  <si>
    <t>Kansas</t>
  </si>
  <si>
    <t>KS</t>
  </si>
  <si>
    <t>National Renewable Energy Laboratory</t>
  </si>
  <si>
    <t>Kentucky</t>
  </si>
  <si>
    <t>KY</t>
  </si>
  <si>
    <t>Louisiana</t>
  </si>
  <si>
    <t>LA</t>
  </si>
  <si>
    <t>Renewable Energy Futures Study: Volume 1</t>
  </si>
  <si>
    <t>Maine</t>
  </si>
  <si>
    <t>ME</t>
  </si>
  <si>
    <t>http://www.nrel.gov/docs/fy12osti/52409-1.pdf</t>
  </si>
  <si>
    <t>Maryland</t>
  </si>
  <si>
    <t>MD</t>
  </si>
  <si>
    <t>Page 3-14, Figure 3-8</t>
  </si>
  <si>
    <t>Massachusetts</t>
  </si>
  <si>
    <t>MA</t>
  </si>
  <si>
    <t>Michigan</t>
  </si>
  <si>
    <t>MI</t>
  </si>
  <si>
    <t>HIFLD Open Data Electric Power Transmission Lines</t>
  </si>
  <si>
    <t>Minnesota</t>
  </si>
  <si>
    <t>MN</t>
  </si>
  <si>
    <t>Mississippi</t>
  </si>
  <si>
    <t>MS</t>
  </si>
  <si>
    <t>https://hifld-geoplatform.opendata.arcgis.com/datasets/electric-power-transmission-lines</t>
  </si>
  <si>
    <t>Missouri</t>
  </si>
  <si>
    <t>MO</t>
  </si>
  <si>
    <t>Analysis done by RMI calculations</t>
  </si>
  <si>
    <t>Montana</t>
  </si>
  <si>
    <t>MT</t>
  </si>
  <si>
    <t>Nebraska</t>
  </si>
  <si>
    <t>NE</t>
  </si>
  <si>
    <t>Nevada</t>
  </si>
  <si>
    <t>NV</t>
  </si>
  <si>
    <t>Note:</t>
  </si>
  <si>
    <t>New Hampshire</t>
  </si>
  <si>
    <t>NH</t>
  </si>
  <si>
    <t>New Jersey</t>
  </si>
  <si>
    <t>NJ</t>
  </si>
  <si>
    <t>We adjust 2021 dollars to 2012 dollars using the following conversion factor:</t>
  </si>
  <si>
    <t>New Mexico</t>
  </si>
  <si>
    <t>NM</t>
  </si>
  <si>
    <t>New York</t>
  </si>
  <si>
    <t>NY</t>
  </si>
  <si>
    <t>See "cpi.xlsx" in the InputData folder for source information.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</si>
  <si>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</si>
  <si>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</si>
  <si>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</si>
  <si>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</si>
  <si>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</si>
  <si>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</si>
  <si>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</si>
  <si>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</si>
  <si>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</si>
  <si>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</si>
  <si>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</si>
  <si>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</si>
  <si>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</si>
  <si>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</si>
  <si>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</si>
  <si>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</si>
  <si>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</si>
  <si>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</si>
  <si>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</si>
  <si>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</si>
  <si>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</si>
  <si>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</si>
  <si>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</si>
  <si>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</si>
  <si>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</si>
  <si>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</si>
  <si>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</si>
  <si>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</si>
  <si>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</si>
  <si>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</si>
  <si>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</si>
  <si>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</si>
  <si>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</si>
  <si>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</si>
  <si>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</si>
  <si>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</si>
  <si>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</si>
  <si>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</si>
  <si>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</si>
  <si>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</si>
  <si>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</si>
  <si>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</si>
  <si>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</si>
  <si>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</si>
  <si>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</si>
  <si>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</si>
  <si>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</si>
  <si>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</si>
  <si>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</si>
  <si>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</si>
  <si>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</si>
  <si>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</si>
  <si>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</si>
  <si>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</si>
  <si>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</si>
  <si>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</si>
  <si>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</si>
  <si>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</si>
  <si>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</si>
  <si>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</si>
  <si>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</si>
  <si>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Costs ($)</t>
  </si>
  <si>
    <t>Transmission Construction</t>
  </si>
  <si>
    <t>Distribution Construction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</si>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</sst>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E+00"/>
    <numFmt numFmtId="166" formatCode="0.000.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  <xf numFmtId="9" fontId="7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1" applyAlignment="1">
      <alignment horizontal="left"/>
    </xf>
    <xf numFmtId="0" fontId="8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6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Percent" xfId="10" builtinId="5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4.75" x14ac:dyDescent="0.75"/>
  <cols>
    <col min="2" max="2" width="44.54296875" customWidth="1"/>
  </cols>
  <sheetData>
    <row r="1" spans="1:7" x14ac:dyDescent="0.75">
      <c r="A1" s="1" t="s">
        <v>0</v>
      </c>
      <c r="B1" s="11" t="s">
        <v>1</v>
      </c>
      <c r="C1" s="12">
        <v>45194</v>
      </c>
      <c r="F1" s="11" t="s">
        <v>1</v>
      </c>
      <c r="G1" s="11" t="s">
        <v>2</v>
      </c>
    </row>
    <row r="2" spans="1:7" x14ac:dyDescent="0.75">
      <c r="B2" t="str">
        <f>LOOKUP(B1,F1:G50,G1:G50)</f>
        <v>AL</v>
      </c>
      <c r="F2" s="11" t="s">
        <v>3</v>
      </c>
      <c r="G2" s="11" t="s">
        <v>4</v>
      </c>
    </row>
    <row r="3" spans="1:7" x14ac:dyDescent="0.75">
      <c r="A3" s="1" t="s">
        <v>5</v>
      </c>
      <c r="B3" s="6" t="s">
        <v>6</v>
      </c>
      <c r="F3" s="11" t="s">
        <v>7</v>
      </c>
      <c r="G3" s="11" t="s">
        <v>8</v>
      </c>
    </row>
    <row r="4" spans="1:7" x14ac:dyDescent="0.75">
      <c r="A4" s="1"/>
      <c r="B4" t="s">
        <v>9</v>
      </c>
      <c r="F4" s="11" t="s">
        <v>10</v>
      </c>
      <c r="G4" s="11" t="s">
        <v>11</v>
      </c>
    </row>
    <row r="5" spans="1:7" x14ac:dyDescent="0.75">
      <c r="A5" s="1"/>
      <c r="B5" s="2">
        <v>2021</v>
      </c>
      <c r="F5" s="11" t="s">
        <v>12</v>
      </c>
      <c r="G5" s="11" t="s">
        <v>13</v>
      </c>
    </row>
    <row r="6" spans="1:7" ht="30" customHeight="1" x14ac:dyDescent="0.75">
      <c r="A6" s="1"/>
      <c r="B6" s="4" t="s">
        <v>14</v>
      </c>
      <c r="F6" s="11" t="s">
        <v>15</v>
      </c>
      <c r="G6" s="11" t="s">
        <v>16</v>
      </c>
    </row>
    <row r="7" spans="1:7" x14ac:dyDescent="0.75">
      <c r="A7" s="1"/>
      <c r="B7" s="3" t="s">
        <v>17</v>
      </c>
      <c r="F7" s="11" t="s">
        <v>18</v>
      </c>
      <c r="G7" s="11" t="s">
        <v>19</v>
      </c>
    </row>
    <row r="8" spans="1:7" x14ac:dyDescent="0.75">
      <c r="A8" s="1"/>
      <c r="B8" t="s">
        <v>20</v>
      </c>
      <c r="F8" s="11" t="s">
        <v>21</v>
      </c>
      <c r="G8" s="11" t="s">
        <v>22</v>
      </c>
    </row>
    <row r="9" spans="1:7" x14ac:dyDescent="0.75">
      <c r="A9" s="1"/>
      <c r="F9" s="11" t="s">
        <v>23</v>
      </c>
      <c r="G9" s="11" t="s">
        <v>24</v>
      </c>
    </row>
    <row r="10" spans="1:7" x14ac:dyDescent="0.75">
      <c r="A10" s="1"/>
      <c r="B10" s="6" t="s">
        <v>25</v>
      </c>
      <c r="F10" s="11" t="s">
        <v>26</v>
      </c>
      <c r="G10" s="11" t="s">
        <v>27</v>
      </c>
    </row>
    <row r="11" spans="1:7" x14ac:dyDescent="0.75">
      <c r="A11" s="1"/>
      <c r="B11" t="s">
        <v>9</v>
      </c>
      <c r="F11" s="11" t="s">
        <v>28</v>
      </c>
      <c r="G11" s="11" t="s">
        <v>29</v>
      </c>
    </row>
    <row r="12" spans="1:7" x14ac:dyDescent="0.75">
      <c r="A12" s="1"/>
      <c r="B12" s="2">
        <v>2021</v>
      </c>
      <c r="F12" s="11" t="s">
        <v>30</v>
      </c>
      <c r="G12" s="11" t="s">
        <v>31</v>
      </c>
    </row>
    <row r="13" spans="1:7" ht="30" customHeight="1" x14ac:dyDescent="0.75">
      <c r="A13" s="1"/>
      <c r="B13" s="4" t="s">
        <v>32</v>
      </c>
      <c r="F13" s="11" t="s">
        <v>33</v>
      </c>
      <c r="G13" s="11" t="s">
        <v>34</v>
      </c>
    </row>
    <row r="14" spans="1:7" x14ac:dyDescent="0.75">
      <c r="A14" s="1"/>
      <c r="B14" s="3" t="s">
        <v>35</v>
      </c>
      <c r="F14" s="11" t="s">
        <v>36</v>
      </c>
      <c r="G14" s="11" t="s">
        <v>37</v>
      </c>
    </row>
    <row r="15" spans="1:7" x14ac:dyDescent="0.75">
      <c r="A15" s="1"/>
      <c r="B15" t="s">
        <v>20</v>
      </c>
      <c r="F15" s="11" t="s">
        <v>38</v>
      </c>
      <c r="G15" s="11" t="s">
        <v>39</v>
      </c>
    </row>
    <row r="16" spans="1:7" x14ac:dyDescent="0.75">
      <c r="A16" s="1"/>
      <c r="F16" s="11" t="s">
        <v>40</v>
      </c>
      <c r="G16" s="11" t="s">
        <v>41</v>
      </c>
    </row>
    <row r="17" spans="1:7" x14ac:dyDescent="0.75">
      <c r="A17" s="1"/>
      <c r="B17" s="2" t="s">
        <v>42</v>
      </c>
      <c r="F17" s="11" t="s">
        <v>43</v>
      </c>
      <c r="G17" s="11" t="s">
        <v>44</v>
      </c>
    </row>
    <row r="18" spans="1:7" x14ac:dyDescent="0.75">
      <c r="A18" s="1"/>
      <c r="B18" s="2">
        <v>2012</v>
      </c>
      <c r="F18" s="11" t="s">
        <v>45</v>
      </c>
      <c r="G18" s="11" t="s">
        <v>46</v>
      </c>
    </row>
    <row r="19" spans="1:7" x14ac:dyDescent="0.75">
      <c r="A19" s="1"/>
      <c r="B19" s="2" t="s">
        <v>47</v>
      </c>
      <c r="F19" s="11" t="s">
        <v>48</v>
      </c>
      <c r="G19" s="11" t="s">
        <v>49</v>
      </c>
    </row>
    <row r="20" spans="1:7" x14ac:dyDescent="0.75">
      <c r="A20" s="1"/>
      <c r="B20" s="10" t="s">
        <v>50</v>
      </c>
      <c r="F20" s="11" t="s">
        <v>51</v>
      </c>
      <c r="G20" s="11" t="s">
        <v>52</v>
      </c>
    </row>
    <row r="21" spans="1:7" x14ac:dyDescent="0.75">
      <c r="A21" s="1"/>
      <c r="B21" s="2" t="s">
        <v>53</v>
      </c>
      <c r="F21" s="11" t="s">
        <v>54</v>
      </c>
      <c r="G21" s="11" t="s">
        <v>55</v>
      </c>
    </row>
    <row r="22" spans="1:7" x14ac:dyDescent="0.75">
      <c r="A22" s="1"/>
      <c r="F22" s="11" t="s">
        <v>56</v>
      </c>
      <c r="G22" s="11" t="s">
        <v>57</v>
      </c>
    </row>
    <row r="23" spans="1:7" x14ac:dyDescent="0.75">
      <c r="A23" s="1"/>
      <c r="B23" s="2" t="s">
        <v>58</v>
      </c>
      <c r="F23" s="11" t="s">
        <v>59</v>
      </c>
      <c r="G23" s="11" t="s">
        <v>60</v>
      </c>
    </row>
    <row r="24" spans="1:7" x14ac:dyDescent="0.75">
      <c r="A24" s="1"/>
      <c r="B24" s="2">
        <v>2020</v>
      </c>
      <c r="F24" s="11" t="s">
        <v>61</v>
      </c>
      <c r="G24" s="11" t="s">
        <v>62</v>
      </c>
    </row>
    <row r="25" spans="1:7" x14ac:dyDescent="0.75">
      <c r="A25" s="1"/>
      <c r="B25" s="3" t="s">
        <v>63</v>
      </c>
      <c r="F25" s="11" t="s">
        <v>64</v>
      </c>
      <c r="G25" s="11" t="s">
        <v>65</v>
      </c>
    </row>
    <row r="26" spans="1:7" x14ac:dyDescent="0.75">
      <c r="A26" s="1"/>
      <c r="B26" s="2" t="s">
        <v>66</v>
      </c>
      <c r="F26" s="11" t="s">
        <v>67</v>
      </c>
      <c r="G26" s="11" t="s">
        <v>68</v>
      </c>
    </row>
    <row r="27" spans="1:7" x14ac:dyDescent="0.75">
      <c r="A27" s="1"/>
      <c r="F27" s="11" t="s">
        <v>69</v>
      </c>
      <c r="G27" s="11" t="s">
        <v>70</v>
      </c>
    </row>
    <row r="28" spans="1:7" x14ac:dyDescent="0.75">
      <c r="A28" s="1"/>
      <c r="F28" s="11" t="s">
        <v>71</v>
      </c>
      <c r="G28" s="11" t="s">
        <v>72</v>
      </c>
    </row>
    <row r="29" spans="1:7" x14ac:dyDescent="0.75">
      <c r="A29" s="1" t="s">
        <v>73</v>
      </c>
      <c r="F29" s="11" t="s">
        <v>74</v>
      </c>
      <c r="G29" s="11" t="s">
        <v>75</v>
      </c>
    </row>
    <row r="30" spans="1:7" x14ac:dyDescent="0.75">
      <c r="A30" s="1"/>
      <c r="F30" s="11" t="s">
        <v>76</v>
      </c>
      <c r="G30" s="11" t="s">
        <v>77</v>
      </c>
    </row>
    <row r="31" spans="1:7" x14ac:dyDescent="0.75">
      <c r="A31" t="s">
        <v>78</v>
      </c>
      <c r="F31" s="11" t="s">
        <v>79</v>
      </c>
      <c r="G31" s="11" t="s">
        <v>80</v>
      </c>
    </row>
    <row r="32" spans="1:7" x14ac:dyDescent="0.75">
      <c r="A32" s="5">
        <v>0.84730412960844359</v>
      </c>
      <c r="F32" s="11" t="s">
        <v>81</v>
      </c>
      <c r="G32" s="11" t="s">
        <v>82</v>
      </c>
    </row>
    <row r="33" spans="1:7" x14ac:dyDescent="0.75">
      <c r="A33" t="s">
        <v>83</v>
      </c>
      <c r="F33" s="11" t="s">
        <v>84</v>
      </c>
      <c r="G33" s="11" t="s">
        <v>85</v>
      </c>
    </row>
    <row r="34" spans="1:7" x14ac:dyDescent="0.75">
      <c r="F34" s="11" t="s">
        <v>86</v>
      </c>
      <c r="G34" s="11" t="s">
        <v>87</v>
      </c>
    </row>
    <row r="35" spans="1:7" x14ac:dyDescent="0.75">
      <c r="F35" s="11" t="s">
        <v>88</v>
      </c>
      <c r="G35" s="11" t="s">
        <v>89</v>
      </c>
    </row>
    <row r="36" spans="1:7" x14ac:dyDescent="0.75">
      <c r="F36" s="11" t="s">
        <v>90</v>
      </c>
      <c r="G36" s="11" t="s">
        <v>91</v>
      </c>
    </row>
    <row r="37" spans="1:7" x14ac:dyDescent="0.75">
      <c r="F37" s="11" t="s">
        <v>92</v>
      </c>
      <c r="G37" s="11" t="s">
        <v>93</v>
      </c>
    </row>
    <row r="38" spans="1:7" x14ac:dyDescent="0.75">
      <c r="F38" s="11" t="s">
        <v>94</v>
      </c>
      <c r="G38" s="11" t="s">
        <v>95</v>
      </c>
    </row>
    <row r="39" spans="1:7" x14ac:dyDescent="0.75">
      <c r="F39" s="11" t="s">
        <v>96</v>
      </c>
      <c r="G39" s="11" t="s">
        <v>97</v>
      </c>
    </row>
    <row r="40" spans="1:7" x14ac:dyDescent="0.75">
      <c r="F40" s="11" t="s">
        <v>98</v>
      </c>
      <c r="G40" s="11" t="s">
        <v>99</v>
      </c>
    </row>
    <row r="41" spans="1:7" x14ac:dyDescent="0.75">
      <c r="F41" s="11" t="s">
        <v>100</v>
      </c>
      <c r="G41" s="11" t="s">
        <v>101</v>
      </c>
    </row>
    <row r="42" spans="1:7" x14ac:dyDescent="0.75">
      <c r="F42" s="11" t="s">
        <v>102</v>
      </c>
      <c r="G42" s="11" t="s">
        <v>103</v>
      </c>
    </row>
    <row r="43" spans="1:7" x14ac:dyDescent="0.75">
      <c r="F43" s="11" t="s">
        <v>104</v>
      </c>
      <c r="G43" s="11" t="s">
        <v>105</v>
      </c>
    </row>
    <row r="44" spans="1:7" x14ac:dyDescent="0.75">
      <c r="F44" s="11" t="s">
        <v>106</v>
      </c>
      <c r="G44" s="11" t="s">
        <v>107</v>
      </c>
    </row>
    <row r="45" spans="1:7" x14ac:dyDescent="0.75">
      <c r="F45" s="11" t="s">
        <v>108</v>
      </c>
      <c r="G45" s="11" t="s">
        <v>109</v>
      </c>
    </row>
    <row r="46" spans="1:7" x14ac:dyDescent="0.75">
      <c r="F46" s="11" t="s">
        <v>110</v>
      </c>
      <c r="G46" s="11" t="s">
        <v>111</v>
      </c>
    </row>
    <row r="47" spans="1:7" x14ac:dyDescent="0.75">
      <c r="F47" s="11" t="s">
        <v>112</v>
      </c>
      <c r="G47" s="11" t="s">
        <v>113</v>
      </c>
    </row>
    <row r="48" spans="1:7" x14ac:dyDescent="0.75">
      <c r="F48" s="11" t="s">
        <v>114</v>
      </c>
      <c r="G48" s="11" t="s">
        <v>115</v>
      </c>
    </row>
    <row r="49" spans="6:7" x14ac:dyDescent="0.75">
      <c r="F49" s="11" t="s">
        <v>116</v>
      </c>
      <c r="G49" s="11" t="s">
        <v>117</v>
      </c>
    </row>
    <row r="50" spans="6:7" x14ac:dyDescent="0.75">
      <c r="F50" s="11" t="s">
        <v>118</v>
      </c>
      <c r="G50" s="11" t="s">
        <v>119</v>
      </c>
    </row>
  </sheetData>
  <hyperlinks>
    <hyperlink ref="B20" r:id="rId1" xr:uid="{00000000-0004-0000-0000-000000000000}"/>
    <hyperlink ref="B25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2" sqref="F2"/>
    </sheetView>
  </sheetViews>
  <sheetFormatPr defaultColWidth="11.40625" defaultRowHeight="14.75" x14ac:dyDescent="0.75"/>
  <cols>
    <col min="1" max="1" width="21.26953125" customWidth="1"/>
    <col min="4" max="4" width="13.7265625" bestFit="1" customWidth="1"/>
  </cols>
  <sheetData>
    <row r="1" spans="1:6" x14ac:dyDescent="0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75">
      <c r="A2">
        <v>1</v>
      </c>
      <c r="B2" t="s">
        <v>104</v>
      </c>
      <c r="C2" t="s">
        <v>105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75">
      <c r="A3">
        <v>2</v>
      </c>
      <c r="B3" t="s">
        <v>12</v>
      </c>
      <c r="C3" t="s">
        <v>13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75">
      <c r="A4">
        <v>3</v>
      </c>
      <c r="B4" t="s">
        <v>92</v>
      </c>
      <c r="C4" t="s">
        <v>93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75">
      <c r="A5">
        <v>4</v>
      </c>
      <c r="B5" t="s">
        <v>112</v>
      </c>
      <c r="C5" t="s">
        <v>113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75">
      <c r="A6">
        <v>5</v>
      </c>
      <c r="B6" t="s">
        <v>88</v>
      </c>
      <c r="C6" t="s">
        <v>89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75">
      <c r="A7">
        <v>6</v>
      </c>
      <c r="B7" t="s">
        <v>71</v>
      </c>
      <c r="C7" t="s">
        <v>72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75">
      <c r="A8">
        <v>7</v>
      </c>
      <c r="B8" t="s">
        <v>36</v>
      </c>
      <c r="C8" t="s">
        <v>37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75">
      <c r="A9">
        <v>8</v>
      </c>
      <c r="B9" t="s">
        <v>7</v>
      </c>
      <c r="C9" t="s">
        <v>8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75">
      <c r="A10">
        <v>9</v>
      </c>
      <c r="B10" t="s">
        <v>23</v>
      </c>
      <c r="C10" t="s">
        <v>24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75">
      <c r="A11">
        <v>10</v>
      </c>
      <c r="B11" t="s">
        <v>26</v>
      </c>
      <c r="C11" t="s">
        <v>27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75">
      <c r="A12">
        <v>11</v>
      </c>
      <c r="B12" t="s">
        <v>81</v>
      </c>
      <c r="C12" t="s">
        <v>82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75">
      <c r="A13">
        <v>12</v>
      </c>
      <c r="B13" t="s">
        <v>59</v>
      </c>
      <c r="C13" t="s">
        <v>60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75">
      <c r="A14">
        <v>13</v>
      </c>
      <c r="B14" t="s">
        <v>33</v>
      </c>
      <c r="C14" t="s">
        <v>34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75">
      <c r="A15">
        <v>14</v>
      </c>
      <c r="B15" t="s">
        <v>86</v>
      </c>
      <c r="C15" t="s">
        <v>87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75">
      <c r="A16">
        <v>15</v>
      </c>
      <c r="B16" t="s">
        <v>94</v>
      </c>
      <c r="C16" t="s">
        <v>95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75">
      <c r="A17">
        <v>16</v>
      </c>
      <c r="B17" t="s">
        <v>56</v>
      </c>
      <c r="C17" t="s">
        <v>57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75">
      <c r="A18">
        <v>17</v>
      </c>
      <c r="B18" t="s">
        <v>84</v>
      </c>
      <c r="C18" t="s">
        <v>85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75">
      <c r="A19">
        <v>18</v>
      </c>
      <c r="B19" t="s">
        <v>90</v>
      </c>
      <c r="C19" t="s">
        <v>91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75">
      <c r="A20">
        <v>19</v>
      </c>
      <c r="B20" t="s">
        <v>110</v>
      </c>
      <c r="C20" t="s">
        <v>111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75">
      <c r="A21">
        <v>20</v>
      </c>
      <c r="B21" t="s">
        <v>102</v>
      </c>
      <c r="C21" t="s">
        <v>103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75">
      <c r="A22">
        <v>21</v>
      </c>
      <c r="B22" t="s">
        <v>67</v>
      </c>
      <c r="C22" t="s">
        <v>68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75">
      <c r="A23">
        <v>22</v>
      </c>
      <c r="B23" t="s">
        <v>15</v>
      </c>
      <c r="C23" t="s">
        <v>16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75">
      <c r="A24">
        <v>23</v>
      </c>
      <c r="B24" t="s">
        <v>1</v>
      </c>
      <c r="C24" t="s">
        <v>2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75">
      <c r="A25">
        <v>24</v>
      </c>
      <c r="B25" t="s">
        <v>64</v>
      </c>
      <c r="C25" t="s">
        <v>65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75">
      <c r="A26">
        <v>25</v>
      </c>
      <c r="B26" t="s">
        <v>106</v>
      </c>
      <c r="C26" t="s">
        <v>107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75">
      <c r="A27">
        <v>26</v>
      </c>
      <c r="B27" t="s">
        <v>30</v>
      </c>
      <c r="C27" t="s">
        <v>31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75">
      <c r="A28">
        <v>27</v>
      </c>
      <c r="B28" t="s">
        <v>43</v>
      </c>
      <c r="C28" t="s">
        <v>44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75">
      <c r="A29">
        <v>28</v>
      </c>
      <c r="B29" t="s">
        <v>114</v>
      </c>
      <c r="C29" t="s">
        <v>115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75">
      <c r="A30">
        <v>29</v>
      </c>
      <c r="B30" t="s">
        <v>98</v>
      </c>
      <c r="C30" t="s">
        <v>99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75">
      <c r="A31">
        <v>30</v>
      </c>
      <c r="B31" t="s">
        <v>40</v>
      </c>
      <c r="C31" t="s">
        <v>41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75">
      <c r="A32">
        <v>31</v>
      </c>
      <c r="B32" t="s">
        <v>116</v>
      </c>
      <c r="C32" t="s">
        <v>117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75">
      <c r="A33">
        <v>32</v>
      </c>
      <c r="B33" t="s">
        <v>79</v>
      </c>
      <c r="C33" t="s">
        <v>80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75">
      <c r="A34">
        <v>33</v>
      </c>
      <c r="B34" t="s">
        <v>69</v>
      </c>
      <c r="C34" t="s">
        <v>70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75">
      <c r="A35">
        <v>34</v>
      </c>
      <c r="B35" t="s">
        <v>118</v>
      </c>
      <c r="C35" t="s">
        <v>119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75">
      <c r="A36">
        <v>35</v>
      </c>
      <c r="B36" t="s">
        <v>100</v>
      </c>
      <c r="C36" t="s">
        <v>101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75">
      <c r="A37">
        <v>36</v>
      </c>
      <c r="B37" t="s">
        <v>61</v>
      </c>
      <c r="C37" t="s">
        <v>62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75">
      <c r="A38">
        <v>37</v>
      </c>
      <c r="B38" t="s">
        <v>10</v>
      </c>
      <c r="C38" t="s">
        <v>11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75">
      <c r="A39">
        <v>38</v>
      </c>
      <c r="B39" t="s">
        <v>38</v>
      </c>
      <c r="C39" t="s">
        <v>39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75">
      <c r="A40">
        <v>39</v>
      </c>
      <c r="B40" t="s">
        <v>45</v>
      </c>
      <c r="C40" t="s">
        <v>46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75">
      <c r="A41">
        <v>40</v>
      </c>
      <c r="B41" t="s">
        <v>51</v>
      </c>
      <c r="C41" t="s">
        <v>52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75">
      <c r="A42">
        <v>41</v>
      </c>
      <c r="B42" t="s">
        <v>76</v>
      </c>
      <c r="C42" t="s">
        <v>77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75">
      <c r="A43">
        <v>42</v>
      </c>
      <c r="B43" t="s">
        <v>54</v>
      </c>
      <c r="C43" t="s">
        <v>55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75">
      <c r="A44">
        <v>43</v>
      </c>
      <c r="B44" t="s">
        <v>48</v>
      </c>
      <c r="C44" t="s">
        <v>49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75">
      <c r="A45">
        <v>44</v>
      </c>
      <c r="B45" t="s">
        <v>74</v>
      </c>
      <c r="C45" t="s">
        <v>75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75">
      <c r="A46">
        <v>45</v>
      </c>
      <c r="B46" t="s">
        <v>3</v>
      </c>
      <c r="C46" t="s">
        <v>4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75">
      <c r="A47">
        <v>46</v>
      </c>
      <c r="B47" t="s">
        <v>18</v>
      </c>
      <c r="C47" t="s">
        <v>19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75">
      <c r="A48">
        <v>47</v>
      </c>
      <c r="B48" t="s">
        <v>108</v>
      </c>
      <c r="C48" t="s">
        <v>109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75">
      <c r="A49">
        <v>48</v>
      </c>
      <c r="B49" t="s">
        <v>21</v>
      </c>
      <c r="C49" t="s">
        <v>22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75">
      <c r="A50">
        <v>49</v>
      </c>
      <c r="B50" t="s">
        <v>96</v>
      </c>
      <c r="C50" t="s">
        <v>97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75">
      <c r="A51">
        <v>50</v>
      </c>
      <c r="B51" t="s">
        <v>28</v>
      </c>
      <c r="C51" t="s">
        <v>29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75">
      <c r="A53" s="14" t="s">
        <v>126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"/>
  <sheetViews>
    <sheetView topLeftCell="A16" workbookViewId="0">
      <selection activeCell="B44" sqref="B44"/>
    </sheetView>
  </sheetViews>
  <sheetFormatPr defaultColWidth="8.86328125" defaultRowHeight="14.75" x14ac:dyDescent="0.75"/>
  <cols>
    <col min="1" max="1" width="31.1328125" bestFit="1" customWidth="1"/>
    <col min="2" max="2" width="9.54296875" bestFit="1" customWidth="1"/>
    <col min="3" max="42" width="9.26953125" bestFit="1" customWidth="1"/>
  </cols>
  <sheetData>
    <row r="1" spans="1:3" x14ac:dyDescent="0.75">
      <c r="A1" t="s">
        <v>127</v>
      </c>
    </row>
    <row r="2" spans="1:3" x14ac:dyDescent="0.75">
      <c r="A2" t="s">
        <v>128</v>
      </c>
    </row>
    <row r="3" spans="1:3" x14ac:dyDescent="0.75">
      <c r="A3" t="s">
        <v>129</v>
      </c>
    </row>
    <row r="4" spans="1:3" x14ac:dyDescent="0.75">
      <c r="A4" t="s">
        <v>130</v>
      </c>
    </row>
    <row r="5" spans="1:3" x14ac:dyDescent="0.75">
      <c r="A5" t="s">
        <v>131</v>
      </c>
    </row>
    <row r="7" spans="1:3" x14ac:dyDescent="0.75">
      <c r="A7" t="s">
        <v>132</v>
      </c>
    </row>
    <row r="8" spans="1:3" x14ac:dyDescent="0.75">
      <c r="A8" t="s">
        <v>133</v>
      </c>
    </row>
    <row r="10" spans="1:3" x14ac:dyDescent="0.75">
      <c r="A10" t="s">
        <v>134</v>
      </c>
      <c r="B10" s="7">
        <f>150*10^6</f>
        <v>150000000</v>
      </c>
      <c r="C10" t="s">
        <v>135</v>
      </c>
    </row>
    <row r="11" spans="1:3" x14ac:dyDescent="0.75">
      <c r="A11" t="s">
        <v>136</v>
      </c>
      <c r="B11" s="7">
        <f>200*10^6</f>
        <v>200000000</v>
      </c>
      <c r="C11" t="s">
        <v>135</v>
      </c>
    </row>
    <row r="12" spans="1:3" x14ac:dyDescent="0.75">
      <c r="A12" t="s">
        <v>137</v>
      </c>
      <c r="B12" s="7">
        <f>AVERAGE(B10:B11)</f>
        <v>175000000</v>
      </c>
      <c r="C12" t="s">
        <v>135</v>
      </c>
    </row>
    <row r="14" spans="1:3" x14ac:dyDescent="0.75">
      <c r="A14" t="s">
        <v>138</v>
      </c>
    </row>
    <row r="15" spans="1:3" x14ac:dyDescent="0.75">
      <c r="A15" t="s">
        <v>139</v>
      </c>
      <c r="B15">
        <v>141</v>
      </c>
      <c r="C15" t="s">
        <v>140</v>
      </c>
    </row>
    <row r="16" spans="1:3" x14ac:dyDescent="0.75">
      <c r="A16" t="s">
        <v>141</v>
      </c>
      <c r="B16">
        <v>15</v>
      </c>
      <c r="C16" t="s">
        <v>140</v>
      </c>
    </row>
    <row r="17" spans="1:3" x14ac:dyDescent="0.75">
      <c r="A17" t="s">
        <v>142</v>
      </c>
      <c r="B17" s="7">
        <f>B16/B15*50*10^6</f>
        <v>5319148.9361702129</v>
      </c>
      <c r="C17" t="s">
        <v>135</v>
      </c>
    </row>
    <row r="32" spans="1:3" x14ac:dyDescent="0.75">
      <c r="A32" s="1" t="s">
        <v>143</v>
      </c>
    </row>
    <row r="33" spans="1:42" x14ac:dyDescent="0.7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75">
      <c r="A34" t="s">
        <v>144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7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75">
      <c r="B36" t="s">
        <v>145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75">
      <c r="A37" t="s">
        <v>146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75">
      <c r="A38" t="s">
        <v>147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75">
      <c r="A40" s="1" t="s">
        <v>121</v>
      </c>
    </row>
    <row r="41" spans="1:42" x14ac:dyDescent="0.75">
      <c r="A41" t="str">
        <f>About!B1</f>
        <v>Alabama</v>
      </c>
    </row>
    <row r="42" spans="1:42" x14ac:dyDescent="0.75">
      <c r="A42" t="s">
        <v>148</v>
      </c>
      <c r="B42" s="9">
        <f>SUMIFS('HIFLD Outputs'!$F$2:$F$49,'HIFLD Outputs'!$B$2:$B$49,'Data National'!$A$41)*B34</f>
        <v>3613517.4182399479</v>
      </c>
      <c r="C42" s="9">
        <f>SUMIFS('HIFLD Outputs'!$F$2:$F$49,'HIFLD Outputs'!$B$2:$B$49,'Data National'!$A$41)*C34</f>
        <v>3616263.2521443856</v>
      </c>
      <c r="D42" s="9">
        <f>SUMIFS('HIFLD Outputs'!$F$2:$F$49,'HIFLD Outputs'!$B$2:$B$49,'Data National'!$A$41)*D34</f>
        <v>3619009.0860488233</v>
      </c>
      <c r="E42" s="9">
        <f>SUMIFS('HIFLD Outputs'!$F$2:$F$49,'HIFLD Outputs'!$B$2:$B$49,'Data National'!$A$41)*E34</f>
        <v>3621754.9199532606</v>
      </c>
      <c r="F42" s="9">
        <f>SUMIFS('HIFLD Outputs'!$F$2:$F$49,'HIFLD Outputs'!$B$2:$B$49,'Data National'!$A$41)*F34</f>
        <v>3624500.7538576983</v>
      </c>
      <c r="G42" s="9">
        <f>SUMIFS('HIFLD Outputs'!$F$2:$F$49,'HIFLD Outputs'!$B$2:$B$49,'Data National'!$A$41)*G34</f>
        <v>3627246.587762136</v>
      </c>
      <c r="H42" s="9">
        <f>SUMIFS('HIFLD Outputs'!$F$2:$F$49,'HIFLD Outputs'!$B$2:$B$49,'Data National'!$A$41)*H34</f>
        <v>3629992.4216665737</v>
      </c>
      <c r="I42" s="9">
        <f>SUMIFS('HIFLD Outputs'!$F$2:$F$49,'HIFLD Outputs'!$B$2:$B$49,'Data National'!$A$41)*I34</f>
        <v>3632738.2555710115</v>
      </c>
      <c r="J42" s="9">
        <f>SUMIFS('HIFLD Outputs'!$F$2:$F$49,'HIFLD Outputs'!$B$2:$B$49,'Data National'!$A$41)*J34</f>
        <v>3635484.0894754492</v>
      </c>
      <c r="K42" s="9">
        <f>SUMIFS('HIFLD Outputs'!$F$2:$F$49,'HIFLD Outputs'!$B$2:$B$49,'Data National'!$A$41)*K34</f>
        <v>3638229.9233798869</v>
      </c>
      <c r="L42" s="9">
        <f>SUMIFS('HIFLD Outputs'!$F$2:$F$49,'HIFLD Outputs'!$B$2:$B$49,'Data National'!$A$41)*L34</f>
        <v>3640975.7572843246</v>
      </c>
      <c r="M42" s="9">
        <f>SUMIFS('HIFLD Outputs'!$F$2:$F$49,'HIFLD Outputs'!$B$2:$B$49,'Data National'!$A$41)*M34</f>
        <v>3643721.5911887623</v>
      </c>
      <c r="N42" s="9">
        <f>SUMIFS('HIFLD Outputs'!$F$2:$F$49,'HIFLD Outputs'!$B$2:$B$49,'Data National'!$A$41)*N34</f>
        <v>3646467.4250932001</v>
      </c>
      <c r="O42" s="9">
        <f>SUMIFS('HIFLD Outputs'!$F$2:$F$49,'HIFLD Outputs'!$B$2:$B$49,'Data National'!$A$41)*O34</f>
        <v>3649213.2589976378</v>
      </c>
      <c r="P42" s="9">
        <f>SUMIFS('HIFLD Outputs'!$F$2:$F$49,'HIFLD Outputs'!$B$2:$B$49,'Data National'!$A$41)*P34</f>
        <v>3651959.0929020755</v>
      </c>
      <c r="Q42" s="9">
        <f>SUMIFS('HIFLD Outputs'!$F$2:$F$49,'HIFLD Outputs'!$B$2:$B$49,'Data National'!$A$41)*Q34</f>
        <v>3654704.9268065132</v>
      </c>
      <c r="R42" s="9">
        <f>SUMIFS('HIFLD Outputs'!$F$2:$F$49,'HIFLD Outputs'!$B$2:$B$49,'Data National'!$A$41)*R34</f>
        <v>3657450.7607109509</v>
      </c>
      <c r="S42" s="9">
        <f>SUMIFS('HIFLD Outputs'!$F$2:$F$49,'HIFLD Outputs'!$B$2:$B$49,'Data National'!$A$41)*S34</f>
        <v>3660196.5946153887</v>
      </c>
      <c r="T42" s="9">
        <f>SUMIFS('HIFLD Outputs'!$F$2:$F$49,'HIFLD Outputs'!$B$2:$B$49,'Data National'!$A$41)*T34</f>
        <v>3662942.4285198264</v>
      </c>
      <c r="U42" s="9">
        <f>SUMIFS('HIFLD Outputs'!$F$2:$F$49,'HIFLD Outputs'!$B$2:$B$49,'Data National'!$A$41)*U34</f>
        <v>3665688.2624242641</v>
      </c>
      <c r="V42" s="9">
        <f>SUMIFS('HIFLD Outputs'!$F$2:$F$49,'HIFLD Outputs'!$B$2:$B$49,'Data National'!$A$41)*V34</f>
        <v>3668434.0963287018</v>
      </c>
      <c r="W42" s="9">
        <f>SUMIFS('HIFLD Outputs'!$F$2:$F$49,'HIFLD Outputs'!$B$2:$B$49,'Data National'!$A$41)*W34</f>
        <v>3671179.9302331395</v>
      </c>
      <c r="X42" s="9">
        <f>SUMIFS('HIFLD Outputs'!$F$2:$F$49,'HIFLD Outputs'!$B$2:$B$49,'Data National'!$A$41)*X34</f>
        <v>3673925.7641375773</v>
      </c>
      <c r="Y42" s="9">
        <f>SUMIFS('HIFLD Outputs'!$F$2:$F$49,'HIFLD Outputs'!$B$2:$B$49,'Data National'!$A$41)*Y34</f>
        <v>3676671.598042015</v>
      </c>
      <c r="Z42" s="9">
        <f>SUMIFS('HIFLD Outputs'!$F$2:$F$49,'HIFLD Outputs'!$B$2:$B$49,'Data National'!$A$41)*Z34</f>
        <v>3679417.4319464527</v>
      </c>
      <c r="AA42" s="9">
        <f>SUMIFS('HIFLD Outputs'!$F$2:$F$49,'HIFLD Outputs'!$B$2:$B$49,'Data National'!$A$41)*AA34</f>
        <v>3682163.2658508904</v>
      </c>
      <c r="AB42" s="9">
        <f>SUMIFS('HIFLD Outputs'!$F$2:$F$49,'HIFLD Outputs'!$B$2:$B$49,'Data National'!$A$41)*AB34</f>
        <v>3684909.0997553281</v>
      </c>
      <c r="AC42" s="9">
        <f>SUMIFS('HIFLD Outputs'!$F$2:$F$49,'HIFLD Outputs'!$B$2:$B$49,'Data National'!$A$41)*AC34</f>
        <v>3687654.9336597659</v>
      </c>
      <c r="AD42" s="9">
        <f>SUMIFS('HIFLD Outputs'!$F$2:$F$49,'HIFLD Outputs'!$B$2:$B$49,'Data National'!$A$41)*AD34</f>
        <v>3690400.7675642036</v>
      </c>
      <c r="AE42" s="9">
        <f>SUMIFS('HIFLD Outputs'!$F$2:$F$49,'HIFLD Outputs'!$B$2:$B$49,'Data National'!$A$41)*AE34</f>
        <v>3693146.6014686413</v>
      </c>
      <c r="AF42" s="9">
        <f>SUMIFS('HIFLD Outputs'!$F$2:$F$49,'HIFLD Outputs'!$B$2:$B$49,'Data National'!$A$41)*AF34</f>
        <v>3695892.435373079</v>
      </c>
      <c r="AG42" s="9">
        <f>SUMIFS('HIFLD Outputs'!$F$2:$F$49,'HIFLD Outputs'!$B$2:$B$49,'Data National'!$A$41)*AG34</f>
        <v>3698638.2692775168</v>
      </c>
      <c r="AH42" s="9">
        <f>SUMIFS('HIFLD Outputs'!$F$2:$F$49,'HIFLD Outputs'!$B$2:$B$49,'Data National'!$A$41)*AH34</f>
        <v>3701384.1031819545</v>
      </c>
      <c r="AI42" s="9">
        <f>SUMIFS('HIFLD Outputs'!$F$2:$F$49,'HIFLD Outputs'!$B$2:$B$49,'Data National'!$A$41)*AI34</f>
        <v>3704129.9370863922</v>
      </c>
      <c r="AJ42" s="9">
        <f>SUMIFS('HIFLD Outputs'!$F$2:$F$49,'HIFLD Outputs'!$B$2:$B$49,'Data National'!$A$41)*AJ34</f>
        <v>3706875.7709908299</v>
      </c>
      <c r="AK42" s="9">
        <f>SUMIFS('HIFLD Outputs'!$F$2:$F$49,'HIFLD Outputs'!$B$2:$B$49,'Data National'!$A$41)*AK34</f>
        <v>3709621.6048952676</v>
      </c>
      <c r="AL42" s="9">
        <f>SUMIFS('HIFLD Outputs'!$F$2:$F$49,'HIFLD Outputs'!$B$2:$B$49,'Data National'!$A$41)*AL34</f>
        <v>3712367.4387997054</v>
      </c>
      <c r="AM42" s="9">
        <f>SUMIFS('HIFLD Outputs'!$F$2:$F$49,'HIFLD Outputs'!$B$2:$B$49,'Data National'!$A$41)*AM34</f>
        <v>3715113.2727041431</v>
      </c>
      <c r="AN42" s="9">
        <f>SUMIFS('HIFLD Outputs'!$F$2:$F$49,'HIFLD Outputs'!$B$2:$B$49,'Data National'!$A$41)*AN34</f>
        <v>3717859.1066085808</v>
      </c>
      <c r="AO42" s="9">
        <f>SUMIFS('HIFLD Outputs'!$F$2:$F$49,'HIFLD Outputs'!$B$2:$B$49,'Data National'!$A$41)*AO34</f>
        <v>3720604.9405130185</v>
      </c>
      <c r="AP42" s="9">
        <f>SUMIFS('HIFLD Outputs'!$F$2:$F$49,'HIFLD Outputs'!$B$2:$B$49,'Data National'!$A$41)*AP34</f>
        <v>3723350.7744174562</v>
      </c>
    </row>
    <row r="43" spans="1:42" x14ac:dyDescent="0.75">
      <c r="A43" t="s">
        <v>146</v>
      </c>
      <c r="B43" s="7">
        <f>B37*SUMIFS('HIFLD Outputs'!$F$2:$F$49,'HIFLD Outputs'!$B$2:$B$49,'Data National'!$A$41)</f>
        <v>290428689.3298288</v>
      </c>
    </row>
    <row r="44" spans="1:42" x14ac:dyDescent="0.75">
      <c r="A44" t="s">
        <v>147</v>
      </c>
      <c r="B44" s="7">
        <f>B38*SUMIFS('HIFLD Outputs'!$F$2:$F$49,'HIFLD Outputs'!$B$2:$B$49,'Data National'!$A$41)</f>
        <v>255437280.97683734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4.75" x14ac:dyDescent="0.75"/>
  <cols>
    <col min="1" max="1" width="24.86328125" customWidth="1"/>
    <col min="2" max="2" width="24.54296875" customWidth="1"/>
  </cols>
  <sheetData>
    <row r="1" spans="1:2" x14ac:dyDescent="0.75">
      <c r="B1" t="s">
        <v>145</v>
      </c>
    </row>
    <row r="2" spans="1:2" x14ac:dyDescent="0.75">
      <c r="A2" t="s">
        <v>146</v>
      </c>
      <c r="B2" s="7">
        <f>'Data National'!B43</f>
        <v>290428689.3298288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D4" sqref="D4"/>
    </sheetView>
  </sheetViews>
  <sheetFormatPr defaultRowHeight="14.75" x14ac:dyDescent="0.75"/>
  <cols>
    <col min="1" max="1" width="24.86328125" customWidth="1"/>
    <col min="2" max="2" width="24.54296875" customWidth="1"/>
  </cols>
  <sheetData>
    <row r="1" spans="1:2" x14ac:dyDescent="0.75">
      <c r="B1" t="s">
        <v>145</v>
      </c>
    </row>
    <row r="2" spans="1:2" x14ac:dyDescent="0.75">
      <c r="A2" t="s">
        <v>146</v>
      </c>
      <c r="B2" s="7">
        <f>'Data National'!B44</f>
        <v>255437280.97683734</v>
      </c>
    </row>
    <row r="3" spans="1:2" x14ac:dyDescent="0.7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2023-09-27T23:54:44Z</dcterms:modified>
</cp:coreProperties>
</file>