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MPCbS\"/>
    </mc:Choice>
  </mc:AlternateContent>
  <xr:revisionPtr revIDLastSave="0" documentId="8_{FEAE0115-A5CA-4D05-827E-ED38FE67700B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A1" i="7"/>
  <c r="A1" i="6"/>
  <c r="B1" i="6" s="1"/>
  <c r="B9" i="3" s="1"/>
  <c r="A1" i="5"/>
  <c r="B1" i="5" s="1"/>
  <c r="B8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B1" i="7"/>
  <c r="B15" i="3" s="1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9" l="1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<sst xmlns="http://schemas.openxmlformats.org/spreadsheetml/2006/main" count="914" uniqueCount="279">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</sst>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101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AL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AL</v>
      </c>
      <c r="B1" s="32">
        <f>SUMIFS(E3:E52,A3:A52,A1)</f>
        <v>2148000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AL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AL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Alabama</v>
      </c>
      <c r="B1" s="32" t="str">
        <f>LOOKUP(A1,M4:N53,N4:N53)</f>
        <v>AL</v>
      </c>
      <c r="C1" s="32">
        <f>SUMIFS(L5:L52,A5:A52,B1)</f>
        <v>142886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AL</v>
      </c>
      <c r="B1" s="32">
        <f>SUMIFS(D4:D53,A4:A53,A1)</f>
        <v>2075.5055446836268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AL</v>
      </c>
      <c r="B1" s="32">
        <f>SUMIFS(C3:C52,A3:A52,A1)</f>
        <v>68000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AL</v>
      </c>
      <c r="B1" s="32">
        <f>SUMIFS(D5:D54,A5:A54,A1)</f>
        <v>936.75799086757991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936.75799086757991</v>
      </c>
    </row>
    <row r="7" spans="1:2" x14ac:dyDescent="0.75">
      <c r="A7" t="s">
        <v>55</v>
      </c>
      <c r="B7">
        <f>'onshore wind'!C1</f>
        <v>142886</v>
      </c>
    </row>
    <row r="8" spans="1:2" x14ac:dyDescent="0.75">
      <c r="A8" t="s">
        <v>33</v>
      </c>
      <c r="B8">
        <f>'solar PV'!B1</f>
        <v>2148000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2075.5055446836268</v>
      </c>
    </row>
    <row r="11" spans="1:2" x14ac:dyDescent="0.75">
      <c r="A11" t="s">
        <v>39</v>
      </c>
      <c r="B11">
        <f>geothermal!B1</f>
        <v>68000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118.61415348962306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2075.5055446836268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2023-11-07T21:41:00Z</dcterms:modified>
</cp:coreProperties>
</file>