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BSC\"/>
    </mc:Choice>
  </mc:AlternateContent>
  <xr:revisionPtr revIDLastSave="0" documentId="13_ncr:1_{8196A6DB-0C9F-4566-9312-05E9C847373C}" xr6:coauthVersionLast="47" xr6:coauthVersionMax="47" xr10:uidLastSave="{00000000-0000-0000-0000-000000000000}"/>
  <bookViews>
    <workbookView xWindow="720" yWindow="720" windowWidth="14400" windowHeight="7455" firstSheet="4" activeTab="7" xr2:uid="{00000000-000D-0000-FFFF-FFFF00000000}"/>
  </bookViews>
  <sheets>
    <sheet name="About" sheetId="1" r:id="rId1"/>
    <sheet name="Gridlab Battery Data (Old)" sheetId="2" r:id="rId2"/>
    <sheet name="SYC 2019" sheetId="3" r:id="rId3"/>
    <sheet name="Calculations" sheetId="4" r:id="rId4"/>
    <sheet name="Potential" sheetId="5" r:id="rId5"/>
    <sheet name="BGBSC" sheetId="6" r:id="rId6"/>
    <sheet name="PAGBSC" sheetId="7" r:id="rId7"/>
    <sheet name="SYGBSC" sheetId="8" r:id="rId8"/>
    <sheet name="GBDSD" sheetId="9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4" l="1"/>
  <c r="D94" i="4"/>
  <c r="D93" i="4"/>
  <c r="D92" i="4"/>
  <c r="D91" i="4"/>
  <c r="D90" i="4"/>
  <c r="D89" i="4"/>
  <c r="D88" i="4"/>
  <c r="B88" i="4"/>
  <c r="D87" i="4"/>
  <c r="D86" i="4"/>
  <c r="D85" i="4"/>
  <c r="D84" i="4"/>
  <c r="D83" i="4"/>
  <c r="D82" i="4"/>
  <c r="B82" i="4"/>
  <c r="D81" i="4"/>
  <c r="D80" i="4"/>
  <c r="B80" i="4"/>
  <c r="D79" i="4"/>
  <c r="D78" i="4"/>
  <c r="D77" i="4"/>
  <c r="D76" i="4"/>
  <c r="D75" i="4"/>
  <c r="D74" i="4"/>
  <c r="D73" i="4"/>
  <c r="D72" i="4"/>
  <c r="B72" i="4"/>
  <c r="D71" i="4"/>
  <c r="D70" i="4"/>
  <c r="D69" i="4"/>
  <c r="D68" i="4"/>
  <c r="D67" i="4"/>
  <c r="D66" i="4"/>
  <c r="B66" i="4"/>
  <c r="D65" i="4"/>
  <c r="D64" i="4"/>
  <c r="B64" i="4"/>
  <c r="D63" i="4"/>
  <c r="D62" i="4"/>
  <c r="D61" i="4"/>
  <c r="D60" i="4"/>
  <c r="D59" i="4"/>
  <c r="D58" i="4"/>
  <c r="D57" i="4"/>
  <c r="D56" i="4"/>
  <c r="B56" i="4"/>
  <c r="D55" i="4"/>
  <c r="D54" i="4"/>
  <c r="D53" i="4"/>
  <c r="D52" i="4"/>
  <c r="D51" i="4"/>
  <c r="D50" i="4"/>
  <c r="D49" i="4"/>
  <c r="D48" i="4"/>
  <c r="B48" i="4"/>
  <c r="D47" i="4"/>
  <c r="B47" i="4"/>
  <c r="D46" i="4"/>
  <c r="D39" i="4"/>
  <c r="E39" i="4" s="1"/>
  <c r="F39" i="4" s="1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C39" i="4"/>
  <c r="C36" i="4"/>
  <c r="D36" i="4" s="1"/>
  <c r="E36" i="4" s="1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G7" i="4"/>
  <c r="B93" i="4" s="1"/>
  <c r="E7" i="4"/>
  <c r="B52" i="3"/>
  <c r="C46" i="3" s="1"/>
  <c r="C51" i="3"/>
  <c r="C47" i="3"/>
  <c r="C45" i="3"/>
  <c r="C44" i="3"/>
  <c r="C43" i="3"/>
  <c r="C39" i="3"/>
  <c r="C37" i="3"/>
  <c r="C36" i="3"/>
  <c r="C35" i="3"/>
  <c r="C31" i="3"/>
  <c r="C29" i="3"/>
  <c r="C28" i="3"/>
  <c r="C27" i="3"/>
  <c r="C23" i="3"/>
  <c r="C21" i="3"/>
  <c r="C20" i="3"/>
  <c r="C19" i="3"/>
  <c r="C15" i="3"/>
  <c r="C13" i="3"/>
  <c r="C12" i="3"/>
  <c r="C11" i="3"/>
  <c r="C7" i="3"/>
  <c r="C5" i="3"/>
  <c r="C4" i="3"/>
  <c r="C3" i="3"/>
  <c r="D51" i="2"/>
  <c r="F50" i="2" s="1"/>
  <c r="C51" i="2"/>
  <c r="F10" i="4" s="1"/>
  <c r="B51" i="2"/>
  <c r="E10" i="4" s="1"/>
  <c r="E50" i="2"/>
  <c r="F49" i="2"/>
  <c r="E49" i="2"/>
  <c r="E48" i="2"/>
  <c r="F47" i="2"/>
  <c r="E47" i="2"/>
  <c r="E46" i="2"/>
  <c r="F45" i="2"/>
  <c r="E45" i="2"/>
  <c r="E44" i="2"/>
  <c r="F43" i="2"/>
  <c r="E43" i="2"/>
  <c r="E42" i="2"/>
  <c r="F41" i="2"/>
  <c r="E41" i="2"/>
  <c r="E40" i="2"/>
  <c r="F39" i="2"/>
  <c r="E39" i="2"/>
  <c r="E38" i="2"/>
  <c r="F37" i="2"/>
  <c r="E37" i="2"/>
  <c r="E36" i="2"/>
  <c r="F35" i="2"/>
  <c r="E35" i="2"/>
  <c r="E34" i="2"/>
  <c r="F33" i="2"/>
  <c r="E33" i="2"/>
  <c r="E32" i="2"/>
  <c r="F31" i="2"/>
  <c r="E31" i="2"/>
  <c r="E30" i="2"/>
  <c r="F29" i="2"/>
  <c r="E29" i="2"/>
  <c r="E28" i="2"/>
  <c r="F27" i="2"/>
  <c r="E27" i="2"/>
  <c r="E26" i="2"/>
  <c r="F25" i="2"/>
  <c r="E25" i="2"/>
  <c r="E24" i="2"/>
  <c r="F23" i="2"/>
  <c r="B68" i="4" s="1"/>
  <c r="E23" i="2"/>
  <c r="E22" i="2"/>
  <c r="F21" i="2"/>
  <c r="E21" i="2"/>
  <c r="E20" i="2"/>
  <c r="F19" i="2"/>
  <c r="E19" i="2"/>
  <c r="E18" i="2"/>
  <c r="F17" i="2"/>
  <c r="E17" i="2"/>
  <c r="E16" i="2"/>
  <c r="F15" i="2"/>
  <c r="E15" i="2"/>
  <c r="E14" i="2"/>
  <c r="F13" i="2"/>
  <c r="E13" i="2"/>
  <c r="E12" i="2"/>
  <c r="F11" i="2"/>
  <c r="E11" i="2"/>
  <c r="E10" i="2"/>
  <c r="F9" i="2"/>
  <c r="E9" i="2"/>
  <c r="E8" i="2"/>
  <c r="F7" i="2"/>
  <c r="E7" i="2"/>
  <c r="E6" i="2"/>
  <c r="F5" i="2"/>
  <c r="E5" i="2"/>
  <c r="F4" i="2"/>
  <c r="E4" i="2"/>
  <c r="F3" i="2"/>
  <c r="E3" i="2"/>
  <c r="B2" i="1"/>
  <c r="A30" i="4" s="1"/>
  <c r="B33" i="4" l="1"/>
  <c r="C32" i="4"/>
  <c r="S36" i="4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C8" i="3"/>
  <c r="C16" i="3"/>
  <c r="C24" i="3"/>
  <c r="C32" i="3"/>
  <c r="C40" i="3"/>
  <c r="C48" i="3"/>
  <c r="B51" i="4"/>
  <c r="B59" i="4"/>
  <c r="B75" i="4"/>
  <c r="B91" i="4"/>
  <c r="C9" i="3"/>
  <c r="C17" i="3"/>
  <c r="C25" i="3"/>
  <c r="C33" i="3"/>
  <c r="C41" i="3"/>
  <c r="C49" i="3"/>
  <c r="G10" i="4"/>
  <c r="B46" i="4"/>
  <c r="B62" i="4"/>
  <c r="B78" i="4"/>
  <c r="B86" i="4"/>
  <c r="B94" i="4"/>
  <c r="F8" i="2"/>
  <c r="B52" i="4" s="1"/>
  <c r="F12" i="2"/>
  <c r="B60" i="4" s="1"/>
  <c r="F16" i="2"/>
  <c r="F20" i="2"/>
  <c r="F24" i="2"/>
  <c r="B70" i="4" s="1"/>
  <c r="F28" i="2"/>
  <c r="F32" i="2"/>
  <c r="F36" i="2"/>
  <c r="B81" i="4" s="1"/>
  <c r="F40" i="2"/>
  <c r="F44" i="2"/>
  <c r="F48" i="2"/>
  <c r="C2" i="3"/>
  <c r="C10" i="3"/>
  <c r="C18" i="3"/>
  <c r="C26" i="3"/>
  <c r="C34" i="3"/>
  <c r="C42" i="3"/>
  <c r="C50" i="3"/>
  <c r="B49" i="4"/>
  <c r="B57" i="4"/>
  <c r="B65" i="4"/>
  <c r="B73" i="4"/>
  <c r="B89" i="4"/>
  <c r="B76" i="4"/>
  <c r="B84" i="4"/>
  <c r="B92" i="4"/>
  <c r="B55" i="4"/>
  <c r="B79" i="4"/>
  <c r="B87" i="4"/>
  <c r="B95" i="4"/>
  <c r="F6" i="2"/>
  <c r="B50" i="4" s="1"/>
  <c r="F10" i="2"/>
  <c r="B54" i="4" s="1"/>
  <c r="F14" i="2"/>
  <c r="B58" i="4" s="1"/>
  <c r="F18" i="2"/>
  <c r="B63" i="4" s="1"/>
  <c r="F22" i="2"/>
  <c r="B67" i="4" s="1"/>
  <c r="F26" i="2"/>
  <c r="B71" i="4" s="1"/>
  <c r="F30" i="2"/>
  <c r="B74" i="4" s="1"/>
  <c r="F34" i="2"/>
  <c r="F38" i="2"/>
  <c r="B83" i="4" s="1"/>
  <c r="F42" i="2"/>
  <c r="F46" i="2"/>
  <c r="B90" i="4" s="1"/>
  <c r="C6" i="3"/>
  <c r="C14" i="3"/>
  <c r="C22" i="3"/>
  <c r="C30" i="3"/>
  <c r="C38" i="3"/>
  <c r="B53" i="4"/>
  <c r="B61" i="4"/>
  <c r="B69" i="4"/>
  <c r="B77" i="4"/>
  <c r="B85" i="4"/>
  <c r="C93" i="4" l="1"/>
  <c r="C90" i="4"/>
  <c r="C82" i="4"/>
  <c r="C74" i="4"/>
  <c r="C66" i="4"/>
  <c r="C58" i="4"/>
  <c r="C50" i="4"/>
  <c r="C87" i="4"/>
  <c r="C79" i="4"/>
  <c r="C71" i="4"/>
  <c r="C63" i="4"/>
  <c r="C55" i="4"/>
  <c r="C47" i="4"/>
  <c r="C95" i="4"/>
  <c r="C92" i="4"/>
  <c r="C84" i="4"/>
  <c r="C76" i="4"/>
  <c r="C68" i="4"/>
  <c r="C60" i="4"/>
  <c r="C52" i="4"/>
  <c r="C49" i="4"/>
  <c r="C89" i="4"/>
  <c r="C81" i="4"/>
  <c r="C73" i="4"/>
  <c r="C65" i="4"/>
  <c r="C57" i="4"/>
  <c r="C94" i="4"/>
  <c r="C86" i="4"/>
  <c r="C78" i="4"/>
  <c r="C70" i="4"/>
  <c r="C62" i="4"/>
  <c r="C54" i="4"/>
  <c r="C46" i="4"/>
  <c r="C85" i="4"/>
  <c r="C69" i="4"/>
  <c r="C91" i="4"/>
  <c r="C83" i="4"/>
  <c r="C75" i="4"/>
  <c r="C67" i="4"/>
  <c r="C59" i="4"/>
  <c r="C51" i="4"/>
  <c r="C61" i="4"/>
  <c r="C88" i="4"/>
  <c r="C80" i="4"/>
  <c r="C72" i="4"/>
  <c r="C64" i="4"/>
  <c r="C56" i="4"/>
  <c r="C48" i="4"/>
  <c r="C77" i="4"/>
  <c r="C53" i="4"/>
  <c r="C33" i="4"/>
  <c r="R37" i="4" s="1"/>
  <c r="D32" i="4"/>
  <c r="C34" i="4"/>
  <c r="B40" i="4"/>
  <c r="B2" i="7" s="1"/>
  <c r="B34" i="4"/>
  <c r="B37" i="4" l="1"/>
  <c r="B2" i="6" s="1"/>
  <c r="R40" i="4"/>
  <c r="D33" i="4"/>
  <c r="AG37" i="4" s="1"/>
  <c r="D34" i="4"/>
  <c r="R2" i="6"/>
  <c r="C37" i="4"/>
  <c r="C2" i="6" s="1"/>
  <c r="B2" i="8" s="1"/>
  <c r="AG40" i="4"/>
  <c r="AG2" i="7" l="1"/>
  <c r="S40" i="4"/>
  <c r="S2" i="7" s="1"/>
  <c r="D37" i="4"/>
  <c r="AG2" i="6"/>
  <c r="T37" i="4"/>
  <c r="T2" i="6" s="1"/>
  <c r="S37" i="4"/>
  <c r="S2" i="6" s="1"/>
  <c r="R2" i="7"/>
  <c r="D40" i="4"/>
  <c r="D2" i="7" s="1"/>
  <c r="C40" i="4"/>
  <c r="C2" i="7" s="1"/>
  <c r="D2" i="6" l="1"/>
  <c r="E37" i="4"/>
  <c r="U37" i="4"/>
  <c r="E40" i="4"/>
  <c r="T40" i="4"/>
  <c r="T2" i="7" l="1"/>
  <c r="U40" i="4"/>
  <c r="U2" i="6"/>
  <c r="V37" i="4"/>
  <c r="E2" i="7"/>
  <c r="F40" i="4"/>
  <c r="E2" i="6"/>
  <c r="F37" i="4"/>
  <c r="F2" i="7" l="1"/>
  <c r="G40" i="4"/>
  <c r="V2" i="6"/>
  <c r="W37" i="4"/>
  <c r="F2" i="6"/>
  <c r="G37" i="4"/>
  <c r="U2" i="7"/>
  <c r="V40" i="4"/>
  <c r="V2" i="7" l="1"/>
  <c r="W40" i="4"/>
  <c r="G2" i="7"/>
  <c r="H40" i="4"/>
  <c r="G2" i="6"/>
  <c r="H37" i="4"/>
  <c r="W2" i="6"/>
  <c r="X37" i="4"/>
  <c r="X2" i="6" l="1"/>
  <c r="Y37" i="4"/>
  <c r="H2" i="6"/>
  <c r="I37" i="4"/>
  <c r="H2" i="7"/>
  <c r="I40" i="4"/>
  <c r="W2" i="7"/>
  <c r="X40" i="4"/>
  <c r="I2" i="6" l="1"/>
  <c r="J37" i="4"/>
  <c r="X2" i="7"/>
  <c r="Y40" i="4"/>
  <c r="I2" i="7"/>
  <c r="J40" i="4"/>
  <c r="Y2" i="6"/>
  <c r="Z37" i="4"/>
  <c r="Y2" i="7" l="1"/>
  <c r="Z40" i="4"/>
  <c r="Z2" i="6"/>
  <c r="AA37" i="4"/>
  <c r="J2" i="7"/>
  <c r="K40" i="4"/>
  <c r="J2" i="6"/>
  <c r="K37" i="4"/>
  <c r="AA2" i="6" l="1"/>
  <c r="AB37" i="4"/>
  <c r="K2" i="6"/>
  <c r="L37" i="4"/>
  <c r="K2" i="7"/>
  <c r="L40" i="4"/>
  <c r="Z2" i="7"/>
  <c r="AA40" i="4"/>
  <c r="L2" i="7" l="1"/>
  <c r="M40" i="4"/>
  <c r="AA2" i="7"/>
  <c r="AB40" i="4"/>
  <c r="AB2" i="6"/>
  <c r="AC37" i="4"/>
  <c r="L2" i="6"/>
  <c r="M37" i="4"/>
  <c r="AC2" i="6" l="1"/>
  <c r="AD37" i="4"/>
  <c r="M2" i="6"/>
  <c r="N37" i="4"/>
  <c r="M2" i="7"/>
  <c r="N40" i="4"/>
  <c r="AB2" i="7"/>
  <c r="AC40" i="4"/>
  <c r="N2" i="7" l="1"/>
  <c r="O40" i="4"/>
  <c r="AC2" i="7"/>
  <c r="AD40" i="4"/>
  <c r="AD2" i="6"/>
  <c r="AE37" i="4"/>
  <c r="N2" i="6"/>
  <c r="O37" i="4"/>
  <c r="O2" i="6" l="1"/>
  <c r="P37" i="4"/>
  <c r="AE2" i="6"/>
  <c r="AF37" i="4"/>
  <c r="AF2" i="6" s="1"/>
  <c r="AD2" i="7"/>
  <c r="AE40" i="4"/>
  <c r="O2" i="7"/>
  <c r="P40" i="4"/>
  <c r="P2" i="7" l="1"/>
  <c r="Q40" i="4"/>
  <c r="Q2" i="7" s="1"/>
  <c r="AE2" i="7"/>
  <c r="AF40" i="4"/>
  <c r="AF2" i="7" s="1"/>
  <c r="P2" i="6"/>
  <c r="Q37" i="4"/>
  <c r="Q2" i="6" s="1"/>
</calcChain>
</file>

<file path=xl/sharedStrings.xml><?xml version="1.0" encoding="utf-8"?>
<sst xmlns="http://schemas.openxmlformats.org/spreadsheetml/2006/main" count="321" uniqueCount="159">
  <si>
    <t>GBSC BAU Grid Battery Storage Capacity</t>
  </si>
  <si>
    <t>Alabama</t>
  </si>
  <si>
    <t>AL</t>
  </si>
  <si>
    <t>GBSB Potential Additional Grid Battery Storage Capacity</t>
  </si>
  <si>
    <t>Alaska</t>
  </si>
  <si>
    <t>AK</t>
  </si>
  <si>
    <t>GBSC Start Year Grid Battery Storage Capacity</t>
  </si>
  <si>
    <t>Arizona</t>
  </si>
  <si>
    <t>AZ</t>
  </si>
  <si>
    <t>Arkansas</t>
  </si>
  <si>
    <t>AR</t>
  </si>
  <si>
    <t>Source:</t>
  </si>
  <si>
    <t>BAU Grid Battery Storage Capacity</t>
  </si>
  <si>
    <t>California</t>
  </si>
  <si>
    <t>CA</t>
  </si>
  <si>
    <t>Energy Information Administration</t>
  </si>
  <si>
    <t>Colorado</t>
  </si>
  <si>
    <t>CO</t>
  </si>
  <si>
    <t>Connecticut</t>
  </si>
  <si>
    <t>CT</t>
  </si>
  <si>
    <t>Annual Energy Outlook 2020</t>
  </si>
  <si>
    <t>Delaware</t>
  </si>
  <si>
    <t>DE</t>
  </si>
  <si>
    <t>http://www.eia.gov/forecasts/aeo/excel/aeotab_9.xlsx</t>
  </si>
  <si>
    <t>Florida</t>
  </si>
  <si>
    <t>FL</t>
  </si>
  <si>
    <t>Row "Diurnal Storage"</t>
  </si>
  <si>
    <t>Georgia</t>
  </si>
  <si>
    <t>GA</t>
  </si>
  <si>
    <t>Hawaii</t>
  </si>
  <si>
    <t>HI</t>
  </si>
  <si>
    <t>Potential Additional Battery Storage Capacity</t>
  </si>
  <si>
    <t>Idaho</t>
  </si>
  <si>
    <t>ID</t>
  </si>
  <si>
    <t>National Renewable Energy Laboratory</t>
  </si>
  <si>
    <t>Illinois</t>
  </si>
  <si>
    <t>IL</t>
  </si>
  <si>
    <t>2012 (data revised 2014)</t>
  </si>
  <si>
    <t>Indiana</t>
  </si>
  <si>
    <t>IN</t>
  </si>
  <si>
    <t>Renewable Electricity Futures Scenario Viewer</t>
  </si>
  <si>
    <t>Iowa</t>
  </si>
  <si>
    <t>IA</t>
  </si>
  <si>
    <t>https://www.nrel.gov/analysis/re_futures/data_viewer/</t>
  </si>
  <si>
    <t>Kansas</t>
  </si>
  <si>
    <t>KS</t>
  </si>
  <si>
    <t>"80% RE-ITI (2014)" scenario</t>
  </si>
  <si>
    <t>Kentucky</t>
  </si>
  <si>
    <t>KY</t>
  </si>
  <si>
    <t>Louisiana</t>
  </si>
  <si>
    <t>LA</t>
  </si>
  <si>
    <t>Start Year Battery Storage Capacity</t>
  </si>
  <si>
    <t>Maine</t>
  </si>
  <si>
    <t>ME</t>
  </si>
  <si>
    <t>Maryland</t>
  </si>
  <si>
    <t>MD</t>
  </si>
  <si>
    <t>Massachusetts</t>
  </si>
  <si>
    <t>MA</t>
  </si>
  <si>
    <t>Annual Energy Outlook 2019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</si>
  <si>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</si>
  <si>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</si>
  <si>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</si>
  <si>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</si>
  <si>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</si>
  <si>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</si>
  <si>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</si>
  <si>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</si>
  <si>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</si>
  <si>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</si>
  <si>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</si>
  <si>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The Gridlab 2035 study was used for 2019 storage data</t>
  </si>
  <si>
    <t>Nebraska</t>
  </si>
  <si>
    <t>NE</t>
  </si>
  <si>
    <t>Gridlab 2035 data was used for  BAU growth of national battery storage, and apportioned storage based on the study's state-by-state percentages</t>
  </si>
  <si>
    <t>Nevada</t>
  </si>
  <si>
    <t>NV</t>
  </si>
  <si>
    <t>New Hampshire</t>
  </si>
  <si>
    <t>NH</t>
  </si>
  <si>
    <t>The battery capacity is linearly interpolated between start year, 2035 battery capacity and 2050 capacity for potential</t>
  </si>
  <si>
    <t>New Jersey</t>
  </si>
  <si>
    <t>NJ</t>
  </si>
  <si>
    <t>An addition 1.5x was added for potential to allow for more storage.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</si>
  <si>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</si>
  <si>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</si>
  <si>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</si>
  <si>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</si>
  <si>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</si>
  <si>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</si>
  <si>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</si>
  <si>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</si>
  <si>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</si>
  <si>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</si>
  <si>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</si>
  <si>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</si>
  <si>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</si>
  <si>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</si>
  <si>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</si>
  <si>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</si>
  <si>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</si>
  <si>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</si>
  <si>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</si>
  <si>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</si>
  <si>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</si>
  <si>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</si>
  <si>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</si>
  <si>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</si>
  <si>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</si>
  <si>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</si>
  <si>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</si>
  <si>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</si>
  <si>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</si>
  <si>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</si>
  <si>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</si>
  <si>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</si>
  <si>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</si>
  <si>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</si>
  <si>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</si>
  <si>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</si>
  <si>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</si>
  <si>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</si>
  <si>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</si>
  <si>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</si>
  <si>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Fraction 2035</t>
  </si>
  <si>
    <t>Fraction 2050</t>
  </si>
  <si>
    <t>﻿State</t>
  </si>
  <si>
    <t>Installed Capacity (MW)</t>
  </si>
  <si>
    <t>Total</t>
  </si>
  <si>
    <t>States</t>
  </si>
  <si>
    <t>Fraction</t>
  </si>
  <si>
    <t>National Grid cumulative additions (2035)</t>
  </si>
  <si>
    <t>From pixel analysis:</t>
  </si>
  <si>
    <t>100 GW = 88 pixels</t>
  </si>
  <si>
    <t>2035 battery additions: 24 pixels</t>
  </si>
  <si>
    <t>2035 battery additions:</t>
  </si>
  <si>
    <t>BAU national</t>
  </si>
  <si>
    <t>2019 (GW)</t>
  </si>
  <si>
    <t>2035(GW)</t>
  </si>
  <si>
    <t>2050 (1.5x)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</si>
  <si>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</si>
  <si>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</si>
  <si>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</si>
  <si>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</si>
  <si>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</si>
  <si>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</si>
  <si>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</si>
  <si>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</si>
  <si>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</si>
  <si>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For Webapp:</t>
  </si>
  <si>
    <t>2050 BAU</t>
  </si>
  <si>
    <t>2050 Potential</t>
  </si>
  <si>
    <t>2019 SYC</t>
  </si>
  <si>
    <t>Battery Storage Capacity</t>
  </si>
  <si>
    <t>Policy scenario</t>
  </si>
  <si>
    <t>Unit: MW</t>
  </si>
  <si>
    <t>Potential Additional Grid Battery Storage Capacity</t>
  </si>
  <si>
    <t>Start Year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</si>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</sst>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3000000}"/>
    <cellStyle name="20% - Accent2 2" xfId="4" xr:uid="{00000000-0005-0000-0000-000004000000}"/>
    <cellStyle name="20% - Accent3 2" xfId="5" xr:uid="{00000000-0005-0000-0000-000005000000}"/>
    <cellStyle name="20% - Accent4 2" xfId="6" xr:uid="{00000000-0005-0000-0000-000006000000}"/>
    <cellStyle name="20% - Accent5 2" xfId="7" xr:uid="{00000000-0005-0000-0000-000007000000}"/>
    <cellStyle name="20% - Accent6 2" xfId="8" xr:uid="{00000000-0005-0000-0000-000008000000}"/>
    <cellStyle name="40% - Accent1 2" xfId="9" xr:uid="{00000000-0005-0000-0000-000009000000}"/>
    <cellStyle name="40% - Accent2 2" xfId="10" xr:uid="{00000000-0005-0000-0000-00000A000000}"/>
    <cellStyle name="40% - Accent3 2" xfId="11" xr:uid="{00000000-0005-0000-0000-00000B000000}"/>
    <cellStyle name="40% - Accent4 2" xfId="12" xr:uid="{00000000-0005-0000-0000-00000C000000}"/>
    <cellStyle name="40% - Accent5 2" xfId="13" xr:uid="{00000000-0005-0000-0000-00000D000000}"/>
    <cellStyle name="40% - Accent6 2" xfId="14" xr:uid="{00000000-0005-0000-0000-00000E000000}"/>
    <cellStyle name="60% - Accent1 2" xfId="15" xr:uid="{00000000-0005-0000-0000-00000F000000}"/>
    <cellStyle name="60% - Accent2 2" xfId="16" xr:uid="{00000000-0005-0000-0000-000010000000}"/>
    <cellStyle name="60% - Accent3 2" xfId="17" xr:uid="{00000000-0005-0000-0000-000011000000}"/>
    <cellStyle name="60% - Accent4 2" xfId="18" xr:uid="{00000000-0005-0000-0000-000012000000}"/>
    <cellStyle name="60% - Accent5 2" xfId="19" xr:uid="{00000000-0005-0000-0000-000013000000}"/>
    <cellStyle name="60% - Accent6 2" xfId="20" xr:uid="{00000000-0005-0000-0000-000014000000}"/>
    <cellStyle name="Accent1 2" xfId="21" xr:uid="{00000000-0005-0000-0000-000015000000}"/>
    <cellStyle name="Accent2 2" xfId="22" xr:uid="{00000000-0005-0000-0000-000016000000}"/>
    <cellStyle name="Accent3 2" xfId="23" xr:uid="{00000000-0005-0000-0000-000017000000}"/>
    <cellStyle name="Accent4 2" xfId="24" xr:uid="{00000000-0005-0000-0000-000018000000}"/>
    <cellStyle name="Accent5 2" xfId="25" xr:uid="{00000000-0005-0000-0000-000019000000}"/>
    <cellStyle name="Accent6 2" xfId="26" xr:uid="{00000000-0005-0000-0000-00001A000000}"/>
    <cellStyle name="Bad 2" xfId="27" xr:uid="{00000000-0005-0000-0000-00001B000000}"/>
    <cellStyle name="Body: normal cell" xfId="56" xr:uid="{00000000-0005-0000-0000-000038000000}"/>
    <cellStyle name="Calculation 2" xfId="28" xr:uid="{00000000-0005-0000-0000-00001C000000}"/>
    <cellStyle name="Check Cell 2" xfId="29" xr:uid="{00000000-0005-0000-0000-00001D000000}"/>
    <cellStyle name="Euro" xfId="30" xr:uid="{00000000-0005-0000-0000-00001E000000}"/>
    <cellStyle name="Explanatory Text 2" xfId="31" xr:uid="{00000000-0005-0000-0000-00001F000000}"/>
    <cellStyle name="Font: Calibri, 9pt regular" xfId="52" xr:uid="{00000000-0005-0000-0000-000034000000}"/>
    <cellStyle name="Footnotes: top row" xfId="57" xr:uid="{00000000-0005-0000-0000-000039000000}"/>
    <cellStyle name="Good 2" xfId="32" xr:uid="{00000000-0005-0000-0000-000020000000}"/>
    <cellStyle name="Header: bottom row" xfId="53" xr:uid="{00000000-0005-0000-0000-000035000000}"/>
    <cellStyle name="Heading 1 2" xfId="33" xr:uid="{00000000-0005-0000-0000-000021000000}"/>
    <cellStyle name="Heading 2 2" xfId="34" xr:uid="{00000000-0005-0000-0000-000022000000}"/>
    <cellStyle name="Heading 3 2" xfId="35" xr:uid="{00000000-0005-0000-0000-000023000000}"/>
    <cellStyle name="Heading 4 2" xfId="36" xr:uid="{00000000-0005-0000-0000-000024000000}"/>
    <cellStyle name="Hyperlink" xfId="1" builtinId="8"/>
    <cellStyle name="Input 2" xfId="37" xr:uid="{00000000-0005-0000-0000-000025000000}"/>
    <cellStyle name="Linked Cell 2" xfId="38" xr:uid="{00000000-0005-0000-0000-000026000000}"/>
    <cellStyle name="Neutral 2" xfId="39" xr:uid="{00000000-0005-0000-0000-000027000000}"/>
    <cellStyle name="Normal" xfId="0" builtinId="0"/>
    <cellStyle name="Normal 2" xfId="2" xr:uid="{00000000-0005-0000-0000-000002000000}"/>
    <cellStyle name="Normal 2 2" xfId="45" xr:uid="{00000000-0005-0000-0000-00002D000000}"/>
    <cellStyle name="Normal 2 3" xfId="48" xr:uid="{00000000-0005-0000-0000-000030000000}"/>
    <cellStyle name="Normal 2 4" xfId="49" xr:uid="{00000000-0005-0000-0000-000031000000}"/>
    <cellStyle name="Normal 2 5" xfId="50" xr:uid="{00000000-0005-0000-0000-000032000000}"/>
    <cellStyle name="Normal 2 6" xfId="51" xr:uid="{00000000-0005-0000-0000-000033000000}"/>
    <cellStyle name="Normal 3" xfId="46" xr:uid="{00000000-0005-0000-0000-00002E000000}"/>
    <cellStyle name="Normal 4" xfId="47" xr:uid="{00000000-0005-0000-0000-00002F000000}"/>
    <cellStyle name="Note 2" xfId="40" xr:uid="{00000000-0005-0000-0000-000028000000}"/>
    <cellStyle name="Output 2" xfId="41" xr:uid="{00000000-0005-0000-0000-000029000000}"/>
    <cellStyle name="Parent row" xfId="55" xr:uid="{00000000-0005-0000-0000-000037000000}"/>
    <cellStyle name="Table title" xfId="54" xr:uid="{00000000-0005-0000-0000-000036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101600</xdr:colOff>
      <xdr:row>11</xdr:row>
      <xdr:rowOff>190500</xdr:rowOff>
    </xdr:from>
    <xdr:to>
      <xdr:col>9</xdr:col>
      <xdr:colOff>409087</xdr:colOff>
      <xdr:row>25</xdr:row>
      <xdr:rowOff>127000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0" y="2425700"/>
          <a:ext cx="6085987" cy="278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4.75" x14ac:dyDescent="0.75"/>
  <cols>
    <col min="1" max="1" width="17.86328125" customWidth="1"/>
    <col min="2" max="2" width="54" customWidth="1"/>
  </cols>
  <sheetData>
    <row r="1" spans="1:7" x14ac:dyDescent="0.75">
      <c r="A1" s="3" t="s">
        <v>0</v>
      </c>
      <c r="B1" t="s">
        <v>1</v>
      </c>
      <c r="C1" s="17">
        <v>45194</v>
      </c>
      <c r="F1" s="16" t="s">
        <v>1</v>
      </c>
      <c r="G1" s="16" t="s">
        <v>2</v>
      </c>
    </row>
    <row r="2" spans="1:7" x14ac:dyDescent="0.75">
      <c r="A2" s="3" t="s">
        <v>3</v>
      </c>
      <c r="B2" t="str">
        <f>LOOKUP(B1,F1:G50,G1:G50)</f>
        <v>AL</v>
      </c>
      <c r="F2" s="16" t="s">
        <v>4</v>
      </c>
      <c r="G2" s="16" t="s">
        <v>5</v>
      </c>
    </row>
    <row r="3" spans="1:7" x14ac:dyDescent="0.75">
      <c r="A3" s="3" t="s">
        <v>6</v>
      </c>
      <c r="F3" s="16" t="s">
        <v>7</v>
      </c>
      <c r="G3" s="16" t="s">
        <v>8</v>
      </c>
    </row>
    <row r="4" spans="1:7" x14ac:dyDescent="0.75">
      <c r="F4" s="16" t="s">
        <v>9</v>
      </c>
      <c r="G4" s="16" t="s">
        <v>10</v>
      </c>
    </row>
    <row r="5" spans="1:7" x14ac:dyDescent="0.75">
      <c r="A5" s="3" t="s">
        <v>11</v>
      </c>
      <c r="B5" s="1" t="s">
        <v>12</v>
      </c>
      <c r="F5" s="16" t="s">
        <v>13</v>
      </c>
      <c r="G5" s="16" t="s">
        <v>14</v>
      </c>
    </row>
    <row r="6" spans="1:7" x14ac:dyDescent="0.75">
      <c r="B6" t="s">
        <v>15</v>
      </c>
      <c r="F6" s="16" t="s">
        <v>16</v>
      </c>
      <c r="G6" s="16" t="s">
        <v>17</v>
      </c>
    </row>
    <row r="7" spans="1:7" x14ac:dyDescent="0.75">
      <c r="B7" s="6">
        <v>2020</v>
      </c>
      <c r="F7" s="16" t="s">
        <v>18</v>
      </c>
      <c r="G7" s="16" t="s">
        <v>19</v>
      </c>
    </row>
    <row r="8" spans="1:7" x14ac:dyDescent="0.75">
      <c r="B8" t="s">
        <v>20</v>
      </c>
      <c r="F8" s="16" t="s">
        <v>21</v>
      </c>
      <c r="G8" s="16" t="s">
        <v>22</v>
      </c>
    </row>
    <row r="9" spans="1:7" x14ac:dyDescent="0.75">
      <c r="B9" s="2" t="s">
        <v>23</v>
      </c>
      <c r="F9" s="16" t="s">
        <v>24</v>
      </c>
      <c r="G9" s="16" t="s">
        <v>25</v>
      </c>
    </row>
    <row r="10" spans="1:7" x14ac:dyDescent="0.75">
      <c r="B10" t="s">
        <v>26</v>
      </c>
      <c r="F10" s="16" t="s">
        <v>27</v>
      </c>
      <c r="G10" s="16" t="s">
        <v>28</v>
      </c>
    </row>
    <row r="11" spans="1:7" x14ac:dyDescent="0.75">
      <c r="F11" s="16" t="s">
        <v>29</v>
      </c>
      <c r="G11" s="16" t="s">
        <v>30</v>
      </c>
    </row>
    <row r="12" spans="1:7" x14ac:dyDescent="0.75">
      <c r="B12" s="1" t="s">
        <v>31</v>
      </c>
      <c r="F12" s="16" t="s">
        <v>32</v>
      </c>
      <c r="G12" s="16" t="s">
        <v>33</v>
      </c>
    </row>
    <row r="13" spans="1:7" x14ac:dyDescent="0.75">
      <c r="B13" t="s">
        <v>34</v>
      </c>
      <c r="F13" s="16" t="s">
        <v>35</v>
      </c>
      <c r="G13" s="16" t="s">
        <v>36</v>
      </c>
    </row>
    <row r="14" spans="1:7" x14ac:dyDescent="0.75">
      <c r="B14" s="6" t="s">
        <v>37</v>
      </c>
      <c r="F14" s="16" t="s">
        <v>38</v>
      </c>
      <c r="G14" s="16" t="s">
        <v>39</v>
      </c>
    </row>
    <row r="15" spans="1:7" x14ac:dyDescent="0.75">
      <c r="B15" s="6" t="s">
        <v>40</v>
      </c>
      <c r="F15" s="16" t="s">
        <v>41</v>
      </c>
      <c r="G15" s="16" t="s">
        <v>42</v>
      </c>
    </row>
    <row r="16" spans="1:7" x14ac:dyDescent="0.75">
      <c r="B16" s="2" t="s">
        <v>43</v>
      </c>
      <c r="F16" s="16" t="s">
        <v>44</v>
      </c>
      <c r="G16" s="16" t="s">
        <v>45</v>
      </c>
    </row>
    <row r="17" spans="1:7" x14ac:dyDescent="0.75">
      <c r="B17" t="s">
        <v>46</v>
      </c>
      <c r="F17" s="16" t="s">
        <v>47</v>
      </c>
      <c r="G17" s="16" t="s">
        <v>48</v>
      </c>
    </row>
    <row r="18" spans="1:7" x14ac:dyDescent="0.75">
      <c r="B18" s="6"/>
      <c r="F18" s="16" t="s">
        <v>49</v>
      </c>
      <c r="G18" s="16" t="s">
        <v>50</v>
      </c>
    </row>
    <row r="19" spans="1:7" x14ac:dyDescent="0.75">
      <c r="B19" s="1" t="s">
        <v>51</v>
      </c>
      <c r="F19" s="16" t="s">
        <v>52</v>
      </c>
      <c r="G19" s="16" t="s">
        <v>53</v>
      </c>
    </row>
    <row r="20" spans="1:7" x14ac:dyDescent="0.75">
      <c r="B20" t="s">
        <v>15</v>
      </c>
      <c r="F20" s="16" t="s">
        <v>54</v>
      </c>
      <c r="G20" s="16" t="s">
        <v>55</v>
      </c>
    </row>
    <row r="21" spans="1:7" x14ac:dyDescent="0.75">
      <c r="B21" s="6">
        <v>2018</v>
      </c>
      <c r="F21" s="16" t="s">
        <v>56</v>
      </c>
      <c r="G21" s="16" t="s">
        <v>57</v>
      </c>
    </row>
    <row r="22" spans="1:7" x14ac:dyDescent="0.75">
      <c r="B22" t="s">
        <v>58</v>
      </c>
      <c r="F22" s="16" t="s">
        <v>59</v>
      </c>
      <c r="G22" s="16" t="s">
        <v>60</v>
      </c>
    </row>
    <row r="23" spans="1:7" x14ac:dyDescent="0.75">
      <c r="B23" s="2" t="s">
        <v>23</v>
      </c>
      <c r="F23" s="16" t="s">
        <v>61</v>
      </c>
      <c r="G23" s="16" t="s">
        <v>62</v>
      </c>
    </row>
    <row r="24" spans="1:7" x14ac:dyDescent="0.75">
      <c r="B24" t="s">
        <v>26</v>
      </c>
      <c r="F24" s="16" t="s">
        <v>63</v>
      </c>
      <c r="G24" s="16" t="s">
        <v>64</v>
      </c>
    </row>
    <row r="25" spans="1:7" x14ac:dyDescent="0.75">
      <c r="B25" s="6"/>
      <c r="F25" s="16" t="s">
        <v>65</v>
      </c>
      <c r="G25" s="16" t="s">
        <v>66</v>
      </c>
    </row>
    <row r="26" spans="1:7" x14ac:dyDescent="0.75">
      <c r="A26" s="3" t="s">
        <v>67</v>
      </c>
      <c r="B26" s="6"/>
      <c r="F26" s="16" t="s">
        <v>68</v>
      </c>
      <c r="G26" s="16" t="s">
        <v>69</v>
      </c>
    </row>
    <row r="27" spans="1:7" x14ac:dyDescent="0.75">
      <c r="A27" t="s">
        <v>70</v>
      </c>
      <c r="F27" s="16" t="s">
        <v>71</v>
      </c>
      <c r="G27" s="16" t="s">
        <v>72</v>
      </c>
    </row>
    <row r="28" spans="1:7" x14ac:dyDescent="0.75">
      <c r="A28" t="s">
        <v>73</v>
      </c>
      <c r="F28" s="16" t="s">
        <v>74</v>
      </c>
      <c r="G28" s="16" t="s">
        <v>75</v>
      </c>
    </row>
    <row r="29" spans="1:7" x14ac:dyDescent="0.75">
      <c r="F29" s="16" t="s">
        <v>76</v>
      </c>
      <c r="G29" s="16" t="s">
        <v>77</v>
      </c>
    </row>
    <row r="30" spans="1:7" x14ac:dyDescent="0.75">
      <c r="A30" t="s">
        <v>78</v>
      </c>
      <c r="F30" s="16" t="s">
        <v>79</v>
      </c>
      <c r="G30" s="16" t="s">
        <v>80</v>
      </c>
    </row>
    <row r="31" spans="1:7" x14ac:dyDescent="0.75">
      <c r="A31" t="s">
        <v>81</v>
      </c>
      <c r="F31" s="16" t="s">
        <v>82</v>
      </c>
      <c r="G31" s="16" t="s">
        <v>83</v>
      </c>
    </row>
    <row r="32" spans="1:7" x14ac:dyDescent="0.75">
      <c r="F32" s="16" t="s">
        <v>84</v>
      </c>
      <c r="G32" s="16" t="s">
        <v>85</v>
      </c>
    </row>
    <row r="33" spans="1:7" x14ac:dyDescent="0.75">
      <c r="F33" s="16" t="s">
        <v>86</v>
      </c>
      <c r="G33" s="16" t="s">
        <v>87</v>
      </c>
    </row>
    <row r="34" spans="1:7" x14ac:dyDescent="0.75">
      <c r="A34" s="3"/>
      <c r="F34" s="16" t="s">
        <v>88</v>
      </c>
      <c r="G34" s="16" t="s">
        <v>89</v>
      </c>
    </row>
    <row r="35" spans="1:7" x14ac:dyDescent="0.75">
      <c r="A35" s="6"/>
      <c r="F35" s="16" t="s">
        <v>90</v>
      </c>
      <c r="G35" s="16" t="s">
        <v>91</v>
      </c>
    </row>
    <row r="36" spans="1:7" x14ac:dyDescent="0.75">
      <c r="F36" s="16" t="s">
        <v>92</v>
      </c>
      <c r="G36" s="16" t="s">
        <v>93</v>
      </c>
    </row>
    <row r="37" spans="1:7" x14ac:dyDescent="0.75">
      <c r="F37" s="16" t="s">
        <v>94</v>
      </c>
      <c r="G37" s="16" t="s">
        <v>95</v>
      </c>
    </row>
    <row r="38" spans="1:7" x14ac:dyDescent="0.75">
      <c r="F38" s="16" t="s">
        <v>96</v>
      </c>
      <c r="G38" s="16" t="s">
        <v>97</v>
      </c>
    </row>
    <row r="39" spans="1:7" x14ac:dyDescent="0.75">
      <c r="F39" s="16" t="s">
        <v>98</v>
      </c>
      <c r="G39" s="16" t="s">
        <v>99</v>
      </c>
    </row>
    <row r="40" spans="1:7" x14ac:dyDescent="0.75">
      <c r="F40" s="16" t="s">
        <v>100</v>
      </c>
      <c r="G40" s="16" t="s">
        <v>101</v>
      </c>
    </row>
    <row r="41" spans="1:7" x14ac:dyDescent="0.75">
      <c r="F41" s="16" t="s">
        <v>102</v>
      </c>
      <c r="G41" s="16" t="s">
        <v>103</v>
      </c>
    </row>
    <row r="42" spans="1:7" x14ac:dyDescent="0.75">
      <c r="F42" s="16" t="s">
        <v>104</v>
      </c>
      <c r="G42" s="16" t="s">
        <v>105</v>
      </c>
    </row>
    <row r="43" spans="1:7" x14ac:dyDescent="0.75">
      <c r="F43" s="16" t="s">
        <v>106</v>
      </c>
      <c r="G43" s="16" t="s">
        <v>107</v>
      </c>
    </row>
    <row r="44" spans="1:7" x14ac:dyDescent="0.75">
      <c r="F44" s="16" t="s">
        <v>108</v>
      </c>
      <c r="G44" s="16" t="s">
        <v>109</v>
      </c>
    </row>
    <row r="45" spans="1:7" x14ac:dyDescent="0.75">
      <c r="F45" s="16" t="s">
        <v>110</v>
      </c>
      <c r="G45" s="16" t="s">
        <v>111</v>
      </c>
    </row>
    <row r="46" spans="1:7" x14ac:dyDescent="0.75">
      <c r="F46" s="16" t="s">
        <v>112</v>
      </c>
      <c r="G46" s="16" t="s">
        <v>113</v>
      </c>
    </row>
    <row r="47" spans="1:7" x14ac:dyDescent="0.75">
      <c r="F47" s="16" t="s">
        <v>114</v>
      </c>
      <c r="G47" s="16" t="s">
        <v>115</v>
      </c>
    </row>
    <row r="48" spans="1:7" x14ac:dyDescent="0.75">
      <c r="F48" s="16" t="s">
        <v>116</v>
      </c>
      <c r="G48" s="16" t="s">
        <v>117</v>
      </c>
    </row>
    <row r="49" spans="6:7" x14ac:dyDescent="0.75">
      <c r="F49" s="16" t="s">
        <v>118</v>
      </c>
      <c r="G49" s="16" t="s">
        <v>119</v>
      </c>
    </row>
    <row r="50" spans="6:7" x14ac:dyDescent="0.75">
      <c r="F50" s="16" t="s">
        <v>120</v>
      </c>
      <c r="G50" s="16" t="s">
        <v>121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26" sqref="F26"/>
    </sheetView>
  </sheetViews>
  <sheetFormatPr defaultColWidth="11.40625" defaultRowHeight="14.75" x14ac:dyDescent="0.75"/>
  <sheetData>
    <row r="1" spans="1:6" ht="15.75" customHeight="1" x14ac:dyDescent="0.8">
      <c r="B1" s="8">
        <v>2019</v>
      </c>
      <c r="C1" s="9">
        <v>2035</v>
      </c>
      <c r="D1" s="9">
        <v>2050</v>
      </c>
      <c r="E1" s="7" t="s">
        <v>122</v>
      </c>
      <c r="F1" s="7" t="s">
        <v>123</v>
      </c>
    </row>
    <row r="2" spans="1:6" x14ac:dyDescent="0.75">
      <c r="A2" s="7" t="s">
        <v>124</v>
      </c>
      <c r="B2" s="7" t="s">
        <v>125</v>
      </c>
      <c r="C2" s="7" t="s">
        <v>125</v>
      </c>
      <c r="D2" s="7" t="s">
        <v>125</v>
      </c>
    </row>
    <row r="3" spans="1:6" x14ac:dyDescent="0.75">
      <c r="A3" s="7" t="s">
        <v>2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75">
      <c r="A4" s="7" t="s">
        <v>10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75">
      <c r="A5" s="7" t="s">
        <v>8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75">
      <c r="A6" s="7" t="s">
        <v>14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75">
      <c r="A7" s="7" t="s">
        <v>17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75">
      <c r="A8" s="7" t="s">
        <v>19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75">
      <c r="A9" s="7" t="s">
        <v>22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75">
      <c r="A10" s="7" t="s">
        <v>25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75">
      <c r="A11" s="7" t="s">
        <v>28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75">
      <c r="A12" s="7" t="s">
        <v>42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75">
      <c r="A13" s="7" t="s">
        <v>33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75">
      <c r="A14" s="7" t="s">
        <v>36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75">
      <c r="A15" s="7" t="s">
        <v>39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75">
      <c r="A16" s="7" t="s">
        <v>45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75">
      <c r="A17" s="7" t="s">
        <v>48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75">
      <c r="A18" s="7" t="s">
        <v>50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75">
      <c r="A19" s="7" t="s">
        <v>57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75">
      <c r="A20" s="7" t="s">
        <v>55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75">
      <c r="A21" s="7" t="s">
        <v>53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75">
      <c r="A22" s="7" t="s">
        <v>60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75">
      <c r="A23" s="7" t="s">
        <v>62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75">
      <c r="A24" s="7" t="s">
        <v>66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75">
      <c r="A25" s="7" t="s">
        <v>64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75">
      <c r="A26" s="7" t="s">
        <v>69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75">
      <c r="A27" s="7" t="s">
        <v>87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75">
      <c r="A28" s="7" t="s">
        <v>89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75">
      <c r="A29" s="7" t="s">
        <v>72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75">
      <c r="A30" s="7" t="s">
        <v>77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75">
      <c r="A31" s="7" t="s">
        <v>80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75">
      <c r="A32" s="7" t="s">
        <v>83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75">
      <c r="A33" s="7" t="s">
        <v>75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75">
      <c r="A34" s="7" t="s">
        <v>85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75">
      <c r="A35" s="7" t="s">
        <v>91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75">
      <c r="A36" s="7" t="s">
        <v>93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75">
      <c r="A37" s="7" t="s">
        <v>95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75">
      <c r="A38" s="7" t="s">
        <v>97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75">
      <c r="A39" s="7" t="s">
        <v>99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75">
      <c r="A40" s="7" t="s">
        <v>101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75">
      <c r="A41" s="7" t="s">
        <v>103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75">
      <c r="A42" s="7" t="s">
        <v>105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75">
      <c r="A43" s="7" t="s">
        <v>107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75">
      <c r="A44" s="7" t="s">
        <v>109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75">
      <c r="A45" s="7" t="s">
        <v>113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75">
      <c r="A46" s="7" t="s">
        <v>111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75">
      <c r="A47" s="7" t="s">
        <v>115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75">
      <c r="A48" s="7" t="s">
        <v>119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75">
      <c r="A49" s="7" t="s">
        <v>117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75">
      <c r="A50" s="7" t="s">
        <v>121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75">
      <c r="A51" s="7" t="s">
        <v>126</v>
      </c>
      <c r="B51" s="7">
        <f>SUM(B3:B50)</f>
        <v>1713.1821942700003</v>
      </c>
      <c r="C51" s="7">
        <f>SUM(C3:C50)</f>
        <v>147596.39257492102</v>
      </c>
      <c r="D51" s="7">
        <f>SUM(D3:D50)</f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selection activeCell="G56" sqref="G56"/>
    </sheetView>
  </sheetViews>
  <sheetFormatPr defaultColWidth="11.40625" defaultRowHeight="14.75" x14ac:dyDescent="0.75"/>
  <cols>
    <col min="1" max="2" width="10.86328125" customWidth="1"/>
  </cols>
  <sheetData>
    <row r="1" spans="1:3" x14ac:dyDescent="0.75">
      <c r="A1" t="s">
        <v>127</v>
      </c>
      <c r="B1" t="s">
        <v>126</v>
      </c>
      <c r="C1" t="s">
        <v>128</v>
      </c>
    </row>
    <row r="2" spans="1:3" x14ac:dyDescent="0.75">
      <c r="A2" t="s">
        <v>5</v>
      </c>
      <c r="B2">
        <v>2713.1999999999971</v>
      </c>
      <c r="C2" s="10">
        <f t="shared" ref="C2:C33" si="0">B2/$B$52</f>
        <v>2.5299966197708432E-3</v>
      </c>
    </row>
    <row r="3" spans="1:3" x14ac:dyDescent="0.75">
      <c r="A3" t="s">
        <v>2</v>
      </c>
      <c r="B3">
        <v>29144.499999999989</v>
      </c>
      <c r="C3" s="10">
        <f t="shared" si="0"/>
        <v>2.7176576177543637E-2</v>
      </c>
    </row>
    <row r="4" spans="1:3" x14ac:dyDescent="0.75">
      <c r="A4" t="s">
        <v>10</v>
      </c>
      <c r="B4">
        <v>14753.5</v>
      </c>
      <c r="C4" s="10">
        <f t="shared" si="0"/>
        <v>1.3757299546583066E-2</v>
      </c>
    </row>
    <row r="5" spans="1:3" x14ac:dyDescent="0.75">
      <c r="A5" t="s">
        <v>8</v>
      </c>
      <c r="B5">
        <v>26533.999999999989</v>
      </c>
      <c r="C5" s="10">
        <f t="shared" si="0"/>
        <v>2.4742344946557422E-2</v>
      </c>
    </row>
    <row r="6" spans="1:3" x14ac:dyDescent="0.75">
      <c r="A6" t="s">
        <v>14</v>
      </c>
      <c r="B6">
        <v>71322.899999999892</v>
      </c>
      <c r="C6" s="10">
        <f t="shared" si="0"/>
        <v>6.6506964437658037E-2</v>
      </c>
    </row>
    <row r="7" spans="1:3" x14ac:dyDescent="0.75">
      <c r="A7" t="s">
        <v>17</v>
      </c>
      <c r="B7">
        <v>16021.79999999999</v>
      </c>
      <c r="C7" s="10">
        <f t="shared" si="0"/>
        <v>1.4939960136607885E-2</v>
      </c>
    </row>
    <row r="8" spans="1:3" x14ac:dyDescent="0.75">
      <c r="A8" t="s">
        <v>19</v>
      </c>
      <c r="B8">
        <v>9378.1999999999953</v>
      </c>
      <c r="C8" s="10">
        <f t="shared" si="0"/>
        <v>8.7449558821815331E-3</v>
      </c>
    </row>
    <row r="9" spans="1:3" x14ac:dyDescent="0.75">
      <c r="A9" t="s">
        <v>22</v>
      </c>
      <c r="B9">
        <v>3343.5</v>
      </c>
      <c r="C9" s="10">
        <f t="shared" si="0"/>
        <v>3.117736878300097E-3</v>
      </c>
    </row>
    <row r="10" spans="1:3" x14ac:dyDescent="0.75">
      <c r="A10" t="s">
        <v>25</v>
      </c>
      <c r="B10">
        <v>60433.999999999898</v>
      </c>
      <c r="C10" s="10">
        <f t="shared" si="0"/>
        <v>5.6353315538563709E-2</v>
      </c>
    </row>
    <row r="11" spans="1:3" x14ac:dyDescent="0.75">
      <c r="A11" t="s">
        <v>28</v>
      </c>
      <c r="B11">
        <v>34765</v>
      </c>
      <c r="C11" s="10">
        <f t="shared" si="0"/>
        <v>3.2417563204457267E-2</v>
      </c>
    </row>
    <row r="12" spans="1:3" x14ac:dyDescent="0.75">
      <c r="A12" t="s">
        <v>30</v>
      </c>
      <c r="B12">
        <v>2873.8999999999901</v>
      </c>
      <c r="C12" s="10">
        <f t="shared" si="0"/>
        <v>2.6798456750550675E-3</v>
      </c>
    </row>
    <row r="13" spans="1:3" x14ac:dyDescent="0.75">
      <c r="A13" t="s">
        <v>42</v>
      </c>
      <c r="B13">
        <v>20391.400000000001</v>
      </c>
      <c r="C13" s="10">
        <f t="shared" si="0"/>
        <v>1.9014511673446571E-2</v>
      </c>
    </row>
    <row r="14" spans="1:3" x14ac:dyDescent="0.75">
      <c r="A14" t="s">
        <v>33</v>
      </c>
      <c r="B14">
        <v>5211.8999999999969</v>
      </c>
      <c r="C14" s="10">
        <f t="shared" si="0"/>
        <v>4.8599769211940379E-3</v>
      </c>
    </row>
    <row r="15" spans="1:3" x14ac:dyDescent="0.75">
      <c r="A15" t="s">
        <v>36</v>
      </c>
      <c r="B15">
        <v>44117.199999999903</v>
      </c>
      <c r="C15" s="10">
        <f t="shared" si="0"/>
        <v>4.1138274684414756E-2</v>
      </c>
    </row>
    <row r="16" spans="1:3" x14ac:dyDescent="0.75">
      <c r="A16" t="s">
        <v>39</v>
      </c>
      <c r="B16">
        <v>26624.69999999999</v>
      </c>
      <c r="C16" s="10">
        <f t="shared" si="0"/>
        <v>2.482692061123869E-2</v>
      </c>
    </row>
    <row r="17" spans="1:3" x14ac:dyDescent="0.75">
      <c r="A17" t="s">
        <v>45</v>
      </c>
      <c r="B17">
        <v>16231.499999999991</v>
      </c>
      <c r="C17" s="10">
        <f t="shared" si="0"/>
        <v>1.5135500565314191E-2</v>
      </c>
    </row>
    <row r="18" spans="1:3" x14ac:dyDescent="0.75">
      <c r="A18" t="s">
        <v>48</v>
      </c>
      <c r="B18">
        <v>19495.499999999989</v>
      </c>
      <c r="C18" s="10">
        <f t="shared" si="0"/>
        <v>1.8179105521429494E-2</v>
      </c>
    </row>
    <row r="19" spans="1:3" x14ac:dyDescent="0.75">
      <c r="A19" t="s">
        <v>50</v>
      </c>
      <c r="B19">
        <v>24298.6</v>
      </c>
      <c r="C19" s="10">
        <f t="shared" si="0"/>
        <v>2.2657885841502239E-2</v>
      </c>
    </row>
    <row r="20" spans="1:3" x14ac:dyDescent="0.75">
      <c r="A20" t="s">
        <v>57</v>
      </c>
      <c r="B20">
        <v>11013.2</v>
      </c>
      <c r="C20" s="10">
        <f t="shared" si="0"/>
        <v>1.0269555791265031E-2</v>
      </c>
    </row>
    <row r="21" spans="1:3" x14ac:dyDescent="0.75">
      <c r="A21" t="s">
        <v>55</v>
      </c>
      <c r="B21">
        <v>14601.899999999991</v>
      </c>
      <c r="C21" s="10">
        <f t="shared" si="0"/>
        <v>1.3615936032077213E-2</v>
      </c>
    </row>
    <row r="22" spans="1:3" x14ac:dyDescent="0.75">
      <c r="A22" t="s">
        <v>53</v>
      </c>
      <c r="B22">
        <v>4739.2999999999956</v>
      </c>
      <c r="C22" s="10">
        <f t="shared" si="0"/>
        <v>4.4192882869231757E-3</v>
      </c>
    </row>
    <row r="23" spans="1:3" x14ac:dyDescent="0.75">
      <c r="A23" t="s">
        <v>60</v>
      </c>
      <c r="B23">
        <v>26973.89999999998</v>
      </c>
      <c r="C23" s="10">
        <f t="shared" si="0"/>
        <v>2.5152541582646605E-2</v>
      </c>
    </row>
    <row r="24" spans="1:3" x14ac:dyDescent="0.75">
      <c r="A24" t="s">
        <v>62</v>
      </c>
      <c r="B24">
        <v>17354.099999999991</v>
      </c>
      <c r="C24" s="10">
        <f t="shared" si="0"/>
        <v>1.6182299255183996E-2</v>
      </c>
    </row>
    <row r="25" spans="1:3" x14ac:dyDescent="0.75">
      <c r="A25" t="s">
        <v>66</v>
      </c>
      <c r="B25">
        <v>20394.099999999991</v>
      </c>
      <c r="C25" s="10">
        <f t="shared" si="0"/>
        <v>1.9017029361369817E-2</v>
      </c>
    </row>
    <row r="26" spans="1:3" x14ac:dyDescent="0.75">
      <c r="A26" t="s">
        <v>64</v>
      </c>
      <c r="B26">
        <v>14540.79999999999</v>
      </c>
      <c r="C26" s="10">
        <f t="shared" si="0"/>
        <v>1.3558961686850911E-2</v>
      </c>
    </row>
    <row r="27" spans="1:3" x14ac:dyDescent="0.75">
      <c r="A27" t="s">
        <v>69</v>
      </c>
      <c r="B27">
        <v>6333.1</v>
      </c>
      <c r="C27" s="10">
        <f t="shared" si="0"/>
        <v>5.9054701432517858E-3</v>
      </c>
    </row>
    <row r="28" spans="1:3" x14ac:dyDescent="0.75">
      <c r="A28" t="s">
        <v>87</v>
      </c>
      <c r="B28">
        <v>34773.199999999997</v>
      </c>
      <c r="C28" s="10">
        <f t="shared" si="0"/>
        <v>3.2425209515927901E-2</v>
      </c>
    </row>
    <row r="29" spans="1:3" x14ac:dyDescent="0.75">
      <c r="A29" t="s">
        <v>89</v>
      </c>
      <c r="B29">
        <v>8649.6999999999971</v>
      </c>
      <c r="C29" s="10">
        <f t="shared" si="0"/>
        <v>8.0656463814064126E-3</v>
      </c>
    </row>
    <row r="30" spans="1:3" x14ac:dyDescent="0.75">
      <c r="A30" t="s">
        <v>72</v>
      </c>
      <c r="B30">
        <v>9465.7999999999884</v>
      </c>
      <c r="C30" s="10">
        <f t="shared" si="0"/>
        <v>8.826640868136091E-3</v>
      </c>
    </row>
    <row r="31" spans="1:3" x14ac:dyDescent="0.75">
      <c r="A31" t="s">
        <v>77</v>
      </c>
      <c r="B31">
        <v>4497.2000000000007</v>
      </c>
      <c r="C31" s="10">
        <f t="shared" si="0"/>
        <v>4.1935356031377897E-3</v>
      </c>
    </row>
    <row r="32" spans="1:3" x14ac:dyDescent="0.75">
      <c r="A32" t="s">
        <v>80</v>
      </c>
      <c r="B32">
        <v>16796.7</v>
      </c>
      <c r="C32" s="10">
        <f t="shared" si="0"/>
        <v>1.5662536570582697E-2</v>
      </c>
    </row>
    <row r="33" spans="1:3" x14ac:dyDescent="0.75">
      <c r="A33" t="s">
        <v>83</v>
      </c>
      <c r="B33">
        <v>8768.0999999999985</v>
      </c>
      <c r="C33" s="10">
        <f t="shared" si="0"/>
        <v>8.1760516592262831E-3</v>
      </c>
    </row>
    <row r="34" spans="1:3" x14ac:dyDescent="0.75">
      <c r="A34" t="s">
        <v>75</v>
      </c>
      <c r="B34">
        <v>11931.29999999999</v>
      </c>
      <c r="C34" s="10">
        <f t="shared" ref="C34:C65" si="1">B34/$B$52</f>
        <v>1.1125662932873311E-2</v>
      </c>
    </row>
    <row r="35" spans="1:3" x14ac:dyDescent="0.75">
      <c r="A35" t="s">
        <v>85</v>
      </c>
      <c r="B35">
        <v>38881.199999999983</v>
      </c>
      <c r="C35" s="10">
        <f t="shared" si="1"/>
        <v>3.6255825067313202E-2</v>
      </c>
    </row>
    <row r="36" spans="1:3" x14ac:dyDescent="0.75">
      <c r="A36" t="s">
        <v>91</v>
      </c>
      <c r="B36">
        <v>28330.59999999998</v>
      </c>
      <c r="C36" s="10">
        <f t="shared" si="1"/>
        <v>2.6417633140232891E-2</v>
      </c>
    </row>
    <row r="37" spans="1:3" x14ac:dyDescent="0.75">
      <c r="A37" t="s">
        <v>93</v>
      </c>
      <c r="B37">
        <v>27117.599999999991</v>
      </c>
      <c r="C37" s="10">
        <f t="shared" si="1"/>
        <v>2.5286538528784413E-2</v>
      </c>
    </row>
    <row r="38" spans="1:3" x14ac:dyDescent="0.75">
      <c r="A38" t="s">
        <v>95</v>
      </c>
      <c r="B38">
        <v>16782.39999999998</v>
      </c>
      <c r="C38" s="10">
        <f t="shared" si="1"/>
        <v>1.5649202149359498E-2</v>
      </c>
    </row>
    <row r="39" spans="1:3" x14ac:dyDescent="0.75">
      <c r="A39" t="s">
        <v>97</v>
      </c>
      <c r="B39">
        <v>46211.599999999911</v>
      </c>
      <c r="C39" s="10">
        <f t="shared" si="1"/>
        <v>4.3091254531255417E-2</v>
      </c>
    </row>
    <row r="40" spans="1:3" x14ac:dyDescent="0.75">
      <c r="A40" t="s">
        <v>99</v>
      </c>
      <c r="B40">
        <v>2027.2</v>
      </c>
      <c r="C40" s="10">
        <f t="shared" si="1"/>
        <v>1.8903173918618085E-3</v>
      </c>
    </row>
    <row r="41" spans="1:3" x14ac:dyDescent="0.75">
      <c r="A41" t="s">
        <v>101</v>
      </c>
      <c r="B41">
        <v>21241.9</v>
      </c>
      <c r="C41" s="10">
        <f t="shared" si="1"/>
        <v>1.9807583369272571E-2</v>
      </c>
    </row>
    <row r="42" spans="1:3" x14ac:dyDescent="0.75">
      <c r="A42" t="s">
        <v>103</v>
      </c>
      <c r="B42">
        <v>4681.3999999999996</v>
      </c>
      <c r="C42" s="10">
        <f t="shared" si="1"/>
        <v>4.3652978681244427E-3</v>
      </c>
    </row>
    <row r="43" spans="1:3" x14ac:dyDescent="0.75">
      <c r="A43" t="s">
        <v>105</v>
      </c>
      <c r="B43">
        <v>19787.399999999991</v>
      </c>
      <c r="C43" s="10">
        <f t="shared" si="1"/>
        <v>1.8451295560243851E-2</v>
      </c>
    </row>
    <row r="44" spans="1:3" x14ac:dyDescent="0.75">
      <c r="A44" t="s">
        <v>107</v>
      </c>
      <c r="B44">
        <v>124983.3</v>
      </c>
      <c r="C44" s="10">
        <f t="shared" si="1"/>
        <v>0.1165440537106758</v>
      </c>
    </row>
    <row r="45" spans="1:3" x14ac:dyDescent="0.75">
      <c r="A45" t="s">
        <v>109</v>
      </c>
      <c r="B45">
        <v>8973.2999999999993</v>
      </c>
      <c r="C45" s="10">
        <f t="shared" si="1"/>
        <v>8.3673959413938272E-3</v>
      </c>
    </row>
    <row r="46" spans="1:3" x14ac:dyDescent="0.75">
      <c r="A46" t="s">
        <v>113</v>
      </c>
      <c r="B46">
        <v>24707.69999999999</v>
      </c>
      <c r="C46" s="10">
        <f t="shared" si="1"/>
        <v>2.3039362185726119E-2</v>
      </c>
    </row>
    <row r="47" spans="1:3" x14ac:dyDescent="0.75">
      <c r="A47" t="s">
        <v>111</v>
      </c>
      <c r="B47">
        <v>795.29999999999905</v>
      </c>
      <c r="C47" s="10">
        <f t="shared" si="1"/>
        <v>7.415989649505202E-4</v>
      </c>
    </row>
    <row r="48" spans="1:3" x14ac:dyDescent="0.75">
      <c r="A48" t="s">
        <v>115</v>
      </c>
      <c r="B48">
        <v>30607.19999999999</v>
      </c>
      <c r="C48" s="10">
        <f t="shared" si="1"/>
        <v>2.8540510298042981E-2</v>
      </c>
    </row>
    <row r="49" spans="1:3" x14ac:dyDescent="0.75">
      <c r="A49" t="s">
        <v>119</v>
      </c>
      <c r="B49">
        <v>15311.8</v>
      </c>
      <c r="C49" s="10">
        <f t="shared" si="1"/>
        <v>1.4277901460492126E-2</v>
      </c>
    </row>
    <row r="50" spans="1:3" x14ac:dyDescent="0.75">
      <c r="A50" t="s">
        <v>117</v>
      </c>
      <c r="B50">
        <v>14818.2</v>
      </c>
      <c r="C50" s="10">
        <f t="shared" si="1"/>
        <v>1.3817630809040377E-2</v>
      </c>
    </row>
    <row r="51" spans="1:3" x14ac:dyDescent="0.75">
      <c r="A51" t="s">
        <v>121</v>
      </c>
      <c r="B51">
        <v>8666.7000000000007</v>
      </c>
      <c r="C51" s="10">
        <f t="shared" si="1"/>
        <v>8.0814984905528495E-3</v>
      </c>
    </row>
    <row r="52" spans="1:3" x14ac:dyDescent="0.7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5"/>
  <sheetViews>
    <sheetView topLeftCell="A26" workbookViewId="0">
      <selection activeCell="G44" sqref="G44"/>
    </sheetView>
  </sheetViews>
  <sheetFormatPr defaultColWidth="11.40625" defaultRowHeight="14.75" x14ac:dyDescent="0.75"/>
  <sheetData>
    <row r="1" spans="1:33" ht="15.75" customHeight="1" x14ac:dyDescent="0.8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8">
      <c r="A2" s="11" t="s">
        <v>129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customHeight="1" x14ac:dyDescent="0.8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customHeight="1" x14ac:dyDescent="0.8">
      <c r="A4" s="11" t="s">
        <v>131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customHeight="1" x14ac:dyDescent="0.8">
      <c r="A5" s="11" t="s">
        <v>132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customHeight="1" x14ac:dyDescent="0.8">
      <c r="A6" s="11" t="s">
        <v>133</v>
      </c>
      <c r="B6" s="11"/>
      <c r="C6" s="11"/>
      <c r="D6" s="12" t="s">
        <v>134</v>
      </c>
      <c r="E6" s="12" t="s">
        <v>135</v>
      </c>
      <c r="F6" s="12" t="s">
        <v>136</v>
      </c>
      <c r="G6" s="12" t="s">
        <v>137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customHeight="1" x14ac:dyDescent="0.8">
      <c r="A7" s="12" t="s">
        <v>138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customHeight="1" x14ac:dyDescent="0.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customHeight="1" x14ac:dyDescent="0.8">
      <c r="A9" s="11"/>
      <c r="B9" s="11"/>
      <c r="C9" s="11"/>
      <c r="D9" s="12" t="s">
        <v>139</v>
      </c>
      <c r="E9" s="12" t="s">
        <v>135</v>
      </c>
      <c r="F9" s="12" t="s">
        <v>136</v>
      </c>
      <c r="G9" s="12" t="s">
        <v>140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customHeight="1" x14ac:dyDescent="0.8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customHeight="1" x14ac:dyDescent="0.8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customHeight="1" x14ac:dyDescent="0.8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customHeight="1" x14ac:dyDescent="0.8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customHeight="1" x14ac:dyDescent="0.8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customHeight="1" x14ac:dyDescent="0.8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customHeight="1" x14ac:dyDescent="0.8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customHeight="1" x14ac:dyDescent="0.8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customHeight="1" x14ac:dyDescent="0.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customHeight="1" x14ac:dyDescent="0.8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customHeight="1" x14ac:dyDescent="0.8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customHeight="1" x14ac:dyDescent="0.8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customHeight="1" x14ac:dyDescent="0.8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customHeight="1" x14ac:dyDescent="0.8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customHeight="1" x14ac:dyDescent="0.8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customHeight="1" x14ac:dyDescent="0.8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customHeight="1" x14ac:dyDescent="0.8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customHeight="1" x14ac:dyDescent="0.8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customHeight="1" x14ac:dyDescent="0.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customHeight="1" x14ac:dyDescent="0.8">
      <c r="A29" s="12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customHeight="1" x14ac:dyDescent="0.8">
      <c r="A30" s="11" t="str">
        <f>About!B2</f>
        <v>AL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customHeight="1" x14ac:dyDescent="0.8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customHeight="1" x14ac:dyDescent="0.8">
      <c r="A32" s="11" t="s">
        <v>142</v>
      </c>
      <c r="B32" s="15"/>
      <c r="C32" s="11">
        <f>SUMIFS('SYC 2019'!C2:C51,'SYC 2019'!A2:A51,Calculations!A30)</f>
        <v>2.7176576177543637E-2</v>
      </c>
      <c r="D32" s="11">
        <f>C32</f>
        <v>2.7176576177543637E-2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customHeight="1" x14ac:dyDescent="0.8">
      <c r="A33" s="11" t="s">
        <v>143</v>
      </c>
      <c r="B33" s="15">
        <f>SUMIFS('Gridlab Battery Data (Old)'!B3:B51,'Gridlab Battery Data (Old)'!A3:A51,Calculations!A30)</f>
        <v>1</v>
      </c>
      <c r="C33" s="11">
        <f>C32*F7*1000</f>
        <v>733.76755679367818</v>
      </c>
      <c r="D33" s="11">
        <f>D32*G7*1000</f>
        <v>1100.6513351905173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customHeight="1" x14ac:dyDescent="0.8">
      <c r="A34" s="11" t="s">
        <v>144</v>
      </c>
      <c r="B34" s="15">
        <f>B33</f>
        <v>1</v>
      </c>
      <c r="C34" s="11">
        <f>C32*F10*1000</f>
        <v>6016.7469095144661</v>
      </c>
      <c r="D34" s="11">
        <f>D32*G10*1000</f>
        <v>14022.130289151768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customHeight="1" x14ac:dyDescent="0.8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customHeight="1" x14ac:dyDescent="0.8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customHeight="1" x14ac:dyDescent="0.8">
      <c r="A37" s="11" t="s">
        <v>145</v>
      </c>
      <c r="B37" s="15">
        <f>B34</f>
        <v>1</v>
      </c>
      <c r="C37" s="11">
        <f t="shared" ref="C37:Q37" si="1">($R37-$B37)/($R36-$B36)+B37</f>
        <v>46.797972299604886</v>
      </c>
      <c r="D37" s="11">
        <f t="shared" si="1"/>
        <v>92.595944599209773</v>
      </c>
      <c r="E37" s="11">
        <f t="shared" si="1"/>
        <v>138.39391689881467</v>
      </c>
      <c r="F37" s="11">
        <f t="shared" si="1"/>
        <v>184.19188919841955</v>
      </c>
      <c r="G37" s="11">
        <f t="shared" si="1"/>
        <v>229.98986149802442</v>
      </c>
      <c r="H37" s="11">
        <f t="shared" si="1"/>
        <v>275.78783379762933</v>
      </c>
      <c r="I37" s="11">
        <f t="shared" si="1"/>
        <v>321.58580609723424</v>
      </c>
      <c r="J37" s="11">
        <f t="shared" si="1"/>
        <v>367.38377839683915</v>
      </c>
      <c r="K37" s="11">
        <f t="shared" si="1"/>
        <v>413.18175069644406</v>
      </c>
      <c r="L37" s="11">
        <f t="shared" si="1"/>
        <v>458.97972299604896</v>
      </c>
      <c r="M37" s="11">
        <f t="shared" si="1"/>
        <v>504.77769529565387</v>
      </c>
      <c r="N37" s="11">
        <f t="shared" si="1"/>
        <v>550.57566759525878</v>
      </c>
      <c r="O37" s="11">
        <f t="shared" si="1"/>
        <v>596.37363989486369</v>
      </c>
      <c r="P37" s="11">
        <f t="shared" si="1"/>
        <v>642.17161219446859</v>
      </c>
      <c r="Q37" s="11">
        <f t="shared" si="1"/>
        <v>687.9695844940735</v>
      </c>
      <c r="R37" s="15">
        <f>C33</f>
        <v>733.76755679367818</v>
      </c>
      <c r="S37" s="11">
        <f t="shared" ref="S37:AF37" si="2">($AG37-$R37)/($AG36-$R36)+R37</f>
        <v>758.22647535346744</v>
      </c>
      <c r="T37" s="11">
        <f t="shared" si="2"/>
        <v>782.68539391325669</v>
      </c>
      <c r="U37" s="11">
        <f t="shared" si="2"/>
        <v>807.14431247304594</v>
      </c>
      <c r="V37" s="11">
        <f t="shared" si="2"/>
        <v>831.6032310328352</v>
      </c>
      <c r="W37" s="11">
        <f t="shared" si="2"/>
        <v>856.06214959262445</v>
      </c>
      <c r="X37" s="11">
        <f t="shared" si="2"/>
        <v>880.5210681524137</v>
      </c>
      <c r="Y37" s="11">
        <f t="shared" si="2"/>
        <v>904.97998671220296</v>
      </c>
      <c r="Z37" s="11">
        <f t="shared" si="2"/>
        <v>929.43890527199221</v>
      </c>
      <c r="AA37" s="11">
        <f t="shared" si="2"/>
        <v>953.89782383178147</v>
      </c>
      <c r="AB37" s="11">
        <f t="shared" si="2"/>
        <v>978.35674239157072</v>
      </c>
      <c r="AC37" s="11">
        <f t="shared" si="2"/>
        <v>1002.81566095136</v>
      </c>
      <c r="AD37" s="11">
        <f t="shared" si="2"/>
        <v>1027.2745795111493</v>
      </c>
      <c r="AE37" s="11">
        <f t="shared" si="2"/>
        <v>1051.7334980709386</v>
      </c>
      <c r="AF37" s="11">
        <f t="shared" si="2"/>
        <v>1076.1924166307278</v>
      </c>
      <c r="AG37" s="15">
        <f>D33</f>
        <v>1100.6513351905173</v>
      </c>
    </row>
    <row r="38" spans="1:33" ht="15.75" customHeight="1" x14ac:dyDescent="0.8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customHeight="1" x14ac:dyDescent="0.8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customHeight="1" x14ac:dyDescent="0.8">
      <c r="A40" s="11" t="s">
        <v>146</v>
      </c>
      <c r="B40" s="15">
        <f>B33</f>
        <v>1</v>
      </c>
      <c r="C40" s="11">
        <f t="shared" ref="C40:Q40" si="4">($R40-$B40)/($R39-$B39)+B40</f>
        <v>427.84010432106152</v>
      </c>
      <c r="D40" s="11">
        <f t="shared" si="4"/>
        <v>854.68020864212303</v>
      </c>
      <c r="E40" s="11">
        <f t="shared" si="4"/>
        <v>1281.5203129631846</v>
      </c>
      <c r="F40" s="11">
        <f t="shared" si="4"/>
        <v>1708.3604172842461</v>
      </c>
      <c r="G40" s="11">
        <f t="shared" si="4"/>
        <v>2135.2005216053076</v>
      </c>
      <c r="H40" s="11">
        <f t="shared" si="4"/>
        <v>2562.0406259263691</v>
      </c>
      <c r="I40" s="11">
        <f t="shared" si="4"/>
        <v>2988.8807302474306</v>
      </c>
      <c r="J40" s="11">
        <f t="shared" si="4"/>
        <v>3415.7208345684921</v>
      </c>
      <c r="K40" s="11">
        <f t="shared" si="4"/>
        <v>3842.5609388895537</v>
      </c>
      <c r="L40" s="11">
        <f t="shared" si="4"/>
        <v>4269.4010432106152</v>
      </c>
      <c r="M40" s="11">
        <f t="shared" si="4"/>
        <v>4696.2411475316767</v>
      </c>
      <c r="N40" s="11">
        <f t="shared" si="4"/>
        <v>5123.0812518527382</v>
      </c>
      <c r="O40" s="11">
        <f t="shared" si="4"/>
        <v>5549.9213561737997</v>
      </c>
      <c r="P40" s="11">
        <f t="shared" si="4"/>
        <v>5976.7614604948612</v>
      </c>
      <c r="Q40" s="11">
        <f t="shared" si="4"/>
        <v>6403.6015648159228</v>
      </c>
      <c r="R40" s="15">
        <f>FORECAST(R36,$B$34:$D$34,$B$31:$D$31)</f>
        <v>6830.4416691369843</v>
      </c>
      <c r="S40" s="11">
        <f t="shared" ref="S40:AF40" si="5">($AG40-$R40)/($AG39-$R39)+R40</f>
        <v>7281.8894778821304</v>
      </c>
      <c r="T40" s="11">
        <f t="shared" si="5"/>
        <v>7733.3372866272766</v>
      </c>
      <c r="U40" s="11">
        <f t="shared" si="5"/>
        <v>8184.7850953724228</v>
      </c>
      <c r="V40" s="11">
        <f t="shared" si="5"/>
        <v>8636.232904117569</v>
      </c>
      <c r="W40" s="11">
        <f t="shared" si="5"/>
        <v>9087.6807128627152</v>
      </c>
      <c r="X40" s="11">
        <f t="shared" si="5"/>
        <v>9539.1285216078613</v>
      </c>
      <c r="Y40" s="11">
        <f t="shared" si="5"/>
        <v>9990.5763303530075</v>
      </c>
      <c r="Z40" s="11">
        <f t="shared" si="5"/>
        <v>10442.024139098154</v>
      </c>
      <c r="AA40" s="11">
        <f t="shared" si="5"/>
        <v>10893.4719478433</v>
      </c>
      <c r="AB40" s="11">
        <f t="shared" si="5"/>
        <v>11344.919756588446</v>
      </c>
      <c r="AC40" s="11">
        <f t="shared" si="5"/>
        <v>11796.367565333592</v>
      </c>
      <c r="AD40" s="11">
        <f t="shared" si="5"/>
        <v>12247.815374078738</v>
      </c>
      <c r="AE40" s="11">
        <f t="shared" si="5"/>
        <v>12699.263182823885</v>
      </c>
      <c r="AF40" s="11">
        <f t="shared" si="5"/>
        <v>13150.710991569031</v>
      </c>
      <c r="AG40" s="15">
        <f>FORECAST(AG36,$B$34:$D$34,$B$31:$D$31)</f>
        <v>13602.158800314181</v>
      </c>
    </row>
    <row r="43" spans="1:33" x14ac:dyDescent="0.75">
      <c r="A43" s="3" t="s">
        <v>147</v>
      </c>
    </row>
    <row r="45" spans="1:33" x14ac:dyDescent="0.75">
      <c r="A45" t="s">
        <v>141</v>
      </c>
      <c r="B45" t="s">
        <v>148</v>
      </c>
      <c r="C45" t="s">
        <v>149</v>
      </c>
      <c r="D45" t="s">
        <v>150</v>
      </c>
    </row>
    <row r="46" spans="1:33" x14ac:dyDescent="0.75">
      <c r="A46" s="16" t="s">
        <v>2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75">
      <c r="A47" s="16" t="s">
        <v>5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75">
      <c r="A48" s="16" t="s">
        <v>8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75">
      <c r="A49" s="16" t="s">
        <v>10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75">
      <c r="A50" s="16" t="s">
        <v>14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75">
      <c r="A51" s="16" t="s">
        <v>17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75">
      <c r="A52" s="16" t="s">
        <v>19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75">
      <c r="A53" s="16" t="s">
        <v>22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75">
      <c r="A54" s="16" t="s">
        <v>25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75">
      <c r="A55" s="16" t="s">
        <v>28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75">
      <c r="A56" s="16" t="s">
        <v>30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75">
      <c r="A57" s="16" t="s">
        <v>33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75">
      <c r="A58" s="16" t="s">
        <v>36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75">
      <c r="A59" s="16" t="s">
        <v>39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75">
      <c r="A60" s="16" t="s">
        <v>42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75">
      <c r="A61" s="16" t="s">
        <v>45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75">
      <c r="A62" s="16" t="s">
        <v>48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75">
      <c r="A63" s="16" t="s">
        <v>50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75">
      <c r="A64" s="16" t="s">
        <v>53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75">
      <c r="A65" s="16" t="s">
        <v>55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75">
      <c r="A66" s="16" t="s">
        <v>57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75">
      <c r="A67" s="16" t="s">
        <v>60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75">
      <c r="A68" s="16" t="s">
        <v>62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75">
      <c r="A69" s="16" t="s">
        <v>64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75">
      <c r="A70" s="16" t="s">
        <v>66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75">
      <c r="A71" s="16" t="s">
        <v>69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75">
      <c r="A72" s="16" t="s">
        <v>72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75">
      <c r="A73" s="16" t="s">
        <v>75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75">
      <c r="A74" s="16" t="s">
        <v>77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75">
      <c r="A75" s="16" t="s">
        <v>80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75">
      <c r="A76" s="16" t="s">
        <v>83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75">
      <c r="A77" s="16" t="s">
        <v>85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75">
      <c r="A78" s="16" t="s">
        <v>87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75">
      <c r="A79" s="16" t="s">
        <v>89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75">
      <c r="A80" s="16" t="s">
        <v>91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75">
      <c r="A81" s="16" t="s">
        <v>93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75">
      <c r="A82" s="16" t="s">
        <v>95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75">
      <c r="A83" s="16" t="s">
        <v>97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75">
      <c r="A84" s="16" t="s">
        <v>99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75">
      <c r="A85" s="16" t="s">
        <v>101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75">
      <c r="A86" s="16" t="s">
        <v>103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75">
      <c r="A87" s="16" t="s">
        <v>105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75">
      <c r="A88" s="16" t="s">
        <v>107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75">
      <c r="A89" s="16" t="s">
        <v>109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75">
      <c r="A90" s="16" t="s">
        <v>111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75">
      <c r="A91" s="16" t="s">
        <v>113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75">
      <c r="A92" s="16" t="s">
        <v>115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75">
      <c r="A93" s="16" t="s">
        <v>117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75">
      <c r="A94" s="16" t="s">
        <v>119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75">
      <c r="A95" s="16" t="s">
        <v>121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"/>
  <sheetViews>
    <sheetView workbookViewId="0">
      <selection activeCell="E21" sqref="E21"/>
    </sheetView>
  </sheetViews>
  <sheetFormatPr defaultColWidth="9" defaultRowHeight="14.75" x14ac:dyDescent="0.75"/>
  <cols>
    <col min="1" max="1" width="26.86328125" customWidth="1"/>
  </cols>
  <sheetData>
    <row r="1" spans="1:3" x14ac:dyDescent="0.75">
      <c r="A1" s="3" t="s">
        <v>151</v>
      </c>
    </row>
    <row r="2" spans="1:3" x14ac:dyDescent="0.75">
      <c r="B2">
        <v>2019</v>
      </c>
      <c r="C2">
        <v>2050</v>
      </c>
    </row>
    <row r="3" spans="1:3" x14ac:dyDescent="0.75">
      <c r="A3" t="s">
        <v>152</v>
      </c>
      <c r="B3">
        <v>1000</v>
      </c>
      <c r="C3">
        <v>100000</v>
      </c>
    </row>
    <row r="11" spans="1:3" x14ac:dyDescent="0.75">
      <c r="B11" s="3"/>
    </row>
    <row r="12" spans="1:3" x14ac:dyDescent="0.75">
      <c r="A12" s="3"/>
    </row>
    <row r="14" spans="1:3" x14ac:dyDescent="0.75">
      <c r="B14" s="3"/>
      <c r="C14" s="3"/>
    </row>
    <row r="15" spans="1:3" x14ac:dyDescent="0.75">
      <c r="A15" s="3"/>
    </row>
    <row r="17" spans="2:33" x14ac:dyDescent="0.7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7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7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7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workbookViewId="0">
      <selection activeCell="B2" sqref="B2"/>
    </sheetView>
  </sheetViews>
  <sheetFormatPr defaultColWidth="8.86328125" defaultRowHeight="14.75" x14ac:dyDescent="0.75"/>
  <cols>
    <col min="1" max="1" width="33.1328125" customWidth="1"/>
    <col min="2" max="2" width="9" customWidth="1"/>
  </cols>
  <sheetData>
    <row r="1" spans="1:33" x14ac:dyDescent="0.7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">
        <v>12</v>
      </c>
      <c r="B2" s="4">
        <f>Calculations!B37</f>
        <v>1</v>
      </c>
      <c r="C2" s="4">
        <f>Calculations!C37</f>
        <v>46.797972299604886</v>
      </c>
      <c r="D2" s="4">
        <f>Calculations!D37</f>
        <v>92.595944599209773</v>
      </c>
      <c r="E2" s="4">
        <f>Calculations!E37</f>
        <v>138.39391689881467</v>
      </c>
      <c r="F2" s="4">
        <f>Calculations!F37</f>
        <v>184.19188919841955</v>
      </c>
      <c r="G2" s="4">
        <f>Calculations!G37</f>
        <v>229.98986149802442</v>
      </c>
      <c r="H2" s="4">
        <f>Calculations!H37</f>
        <v>275.78783379762933</v>
      </c>
      <c r="I2" s="4">
        <f>Calculations!I37</f>
        <v>321.58580609723424</v>
      </c>
      <c r="J2" s="4">
        <f>Calculations!J37</f>
        <v>367.38377839683915</v>
      </c>
      <c r="K2" s="4">
        <f>Calculations!K37</f>
        <v>413.18175069644406</v>
      </c>
      <c r="L2" s="4">
        <f>Calculations!L37</f>
        <v>458.97972299604896</v>
      </c>
      <c r="M2" s="4">
        <f>Calculations!M37</f>
        <v>504.77769529565387</v>
      </c>
      <c r="N2" s="4">
        <f>Calculations!N37</f>
        <v>550.57566759525878</v>
      </c>
      <c r="O2" s="4">
        <f>Calculations!O37</f>
        <v>596.37363989486369</v>
      </c>
      <c r="P2" s="4">
        <f>Calculations!P37</f>
        <v>642.17161219446859</v>
      </c>
      <c r="Q2" s="4">
        <f>Calculations!Q37</f>
        <v>687.9695844940735</v>
      </c>
      <c r="R2" s="4">
        <f>Calculations!R37</f>
        <v>733.76755679367818</v>
      </c>
      <c r="S2" s="4">
        <f>Calculations!S37</f>
        <v>758.22647535346744</v>
      </c>
      <c r="T2" s="4">
        <f>Calculations!T37</f>
        <v>782.68539391325669</v>
      </c>
      <c r="U2" s="4">
        <f>Calculations!U37</f>
        <v>807.14431247304594</v>
      </c>
      <c r="V2" s="4">
        <f>Calculations!V37</f>
        <v>831.6032310328352</v>
      </c>
      <c r="W2" s="4">
        <f>Calculations!W37</f>
        <v>856.06214959262445</v>
      </c>
      <c r="X2" s="4">
        <f>Calculations!X37</f>
        <v>880.5210681524137</v>
      </c>
      <c r="Y2" s="4">
        <f>Calculations!Y37</f>
        <v>904.97998671220296</v>
      </c>
      <c r="Z2" s="4">
        <f>Calculations!Z37</f>
        <v>929.43890527199221</v>
      </c>
      <c r="AA2" s="4">
        <f>Calculations!AA37</f>
        <v>953.89782383178147</v>
      </c>
      <c r="AB2" s="4">
        <f>Calculations!AB37</f>
        <v>978.35674239157072</v>
      </c>
      <c r="AC2" s="4">
        <f>Calculations!AC37</f>
        <v>1002.81566095136</v>
      </c>
      <c r="AD2" s="4">
        <f>Calculations!AD37</f>
        <v>1027.2745795111493</v>
      </c>
      <c r="AE2" s="4">
        <f>Calculations!AE37</f>
        <v>1051.7334980709386</v>
      </c>
      <c r="AF2" s="4">
        <f>Calculations!AF37</f>
        <v>1076.1924166307278</v>
      </c>
      <c r="AG2" s="4">
        <f>Calculations!AG37</f>
        <v>1100.6513351905173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6328125" defaultRowHeight="14.75" x14ac:dyDescent="0.75"/>
  <cols>
    <col min="1" max="1" width="47.1328125" customWidth="1"/>
    <col min="2" max="2" width="12.86328125" bestFit="1" customWidth="1"/>
    <col min="3" max="33" width="10.40625" bestFit="1" customWidth="1"/>
  </cols>
  <sheetData>
    <row r="1" spans="1:33" x14ac:dyDescent="0.7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">
        <v>154</v>
      </c>
      <c r="B2" s="4">
        <f>Calculations!B40</f>
        <v>1</v>
      </c>
      <c r="C2" s="4">
        <f>Calculations!C40</f>
        <v>427.84010432106152</v>
      </c>
      <c r="D2" s="4">
        <f>Calculations!D40</f>
        <v>854.68020864212303</v>
      </c>
      <c r="E2" s="4">
        <f>Calculations!E40</f>
        <v>1281.5203129631846</v>
      </c>
      <c r="F2" s="4">
        <f>Calculations!F40</f>
        <v>1708.3604172842461</v>
      </c>
      <c r="G2" s="4">
        <f>Calculations!G40</f>
        <v>2135.2005216053076</v>
      </c>
      <c r="H2" s="4">
        <f>Calculations!H40</f>
        <v>2562.0406259263691</v>
      </c>
      <c r="I2" s="4">
        <f>Calculations!I40</f>
        <v>2988.8807302474306</v>
      </c>
      <c r="J2" s="4">
        <f>Calculations!J40</f>
        <v>3415.7208345684921</v>
      </c>
      <c r="K2" s="4">
        <f>Calculations!K40</f>
        <v>3842.5609388895537</v>
      </c>
      <c r="L2" s="4">
        <f>Calculations!L40</f>
        <v>4269.4010432106152</v>
      </c>
      <c r="M2" s="4">
        <f>Calculations!M40</f>
        <v>4696.2411475316767</v>
      </c>
      <c r="N2" s="4">
        <f>Calculations!N40</f>
        <v>5123.0812518527382</v>
      </c>
      <c r="O2" s="4">
        <f>Calculations!O40</f>
        <v>5549.9213561737997</v>
      </c>
      <c r="P2" s="4">
        <f>Calculations!P40</f>
        <v>5976.7614604948612</v>
      </c>
      <c r="Q2" s="4">
        <f>Calculations!Q40</f>
        <v>6403.6015648159228</v>
      </c>
      <c r="R2" s="4">
        <f>Calculations!R40</f>
        <v>6830.4416691369843</v>
      </c>
      <c r="S2" s="4">
        <f>Calculations!S40</f>
        <v>7281.8894778821304</v>
      </c>
      <c r="T2" s="4">
        <f>Calculations!T40</f>
        <v>7733.3372866272766</v>
      </c>
      <c r="U2" s="4">
        <f>Calculations!U40</f>
        <v>8184.7850953724228</v>
      </c>
      <c r="V2" s="4">
        <f>Calculations!V40</f>
        <v>8636.232904117569</v>
      </c>
      <c r="W2" s="4">
        <f>Calculations!W40</f>
        <v>9087.6807128627152</v>
      </c>
      <c r="X2" s="4">
        <f>Calculations!X40</f>
        <v>9539.1285216078613</v>
      </c>
      <c r="Y2" s="4">
        <f>Calculations!Y40</f>
        <v>9990.5763303530075</v>
      </c>
      <c r="Z2" s="4">
        <f>Calculations!Z40</f>
        <v>10442.024139098154</v>
      </c>
      <c r="AA2" s="4">
        <f>Calculations!AA40</f>
        <v>10893.4719478433</v>
      </c>
      <c r="AB2" s="4">
        <f>Calculations!AB40</f>
        <v>11344.919756588446</v>
      </c>
      <c r="AC2" s="4">
        <f>Calculations!AC40</f>
        <v>11796.367565333592</v>
      </c>
      <c r="AD2" s="4">
        <f>Calculations!AD40</f>
        <v>12247.815374078738</v>
      </c>
      <c r="AE2" s="4">
        <f>Calculations!AE40</f>
        <v>12699.263182823885</v>
      </c>
      <c r="AF2" s="4">
        <f>Calculations!AF40</f>
        <v>13150.710991569031</v>
      </c>
      <c r="AG2" s="4">
        <f>Calculations!AG40</f>
        <v>13602.158800314181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3"/>
  <sheetViews>
    <sheetView tabSelected="1" workbookViewId="0">
      <selection activeCell="B2" sqref="B2"/>
    </sheetView>
  </sheetViews>
  <sheetFormatPr defaultColWidth="9.1328125" defaultRowHeight="14.75" x14ac:dyDescent="0.75"/>
  <cols>
    <col min="1" max="1" width="11.40625" customWidth="1"/>
    <col min="2" max="2" width="12.40625" customWidth="1"/>
    <col min="3" max="3" width="9.1328125" customWidth="1"/>
  </cols>
  <sheetData>
    <row r="1" spans="1:2" x14ac:dyDescent="0.75">
      <c r="A1" s="5" t="s">
        <v>153</v>
      </c>
      <c r="B1" t="s">
        <v>151</v>
      </c>
    </row>
    <row r="2" spans="1:2" x14ac:dyDescent="0.75">
      <c r="A2" t="s">
        <v>155</v>
      </c>
      <c r="B2" s="4">
        <f>BGBSC!C2</f>
        <v>46.797972299604886</v>
      </c>
    </row>
    <row r="3" spans="1:2" x14ac:dyDescent="0.7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2"/>
  <sheetViews>
    <sheetView workbookViewId="0">
      <selection activeCell="A12" sqref="A12"/>
    </sheetView>
  </sheetViews>
  <sheetFormatPr defaultRowHeight="14.75" x14ac:dyDescent="0.75"/>
  <cols>
    <col min="1" max="1" width="28.1328125" customWidth="1"/>
  </cols>
  <sheetData>
    <row r="1" spans="1:2" x14ac:dyDescent="0.75">
      <c r="A1" s="5" t="s">
        <v>156</v>
      </c>
      <c r="B1" s="18" t="s">
        <v>157</v>
      </c>
    </row>
    <row r="2" spans="1:2" ht="30" customHeight="1" x14ac:dyDescent="0.7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2023-09-27T23:41:42Z</dcterms:modified>
</cp:coreProperties>
</file>