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BZECfNP\"/>
    </mc:Choice>
  </mc:AlternateContent>
  <xr:revisionPtr revIDLastSave="0" documentId="13_ncr:1_{84942D49-F0C1-4C60-8426-9631E353E61A}" xr6:coauthVersionLast="47" xr6:coauthVersionMax="47" xr10:uidLastSave="{00000000-0000-0000-0000-000000000000}"/>
  <bookViews>
    <workbookView xWindow="720" yWindow="720" windowWidth="14400" windowHeight="7455" firstSheet="1" activeTab="1" xr2:uid="{00000000-000D-0000-FFFF-FFFF00000000}"/>
  </bookViews>
  <sheets>
    <sheet name="About" sheetId="1" r:id="rId1"/>
    <sheet name="Sheet1" sheetId="2" r:id="rId2"/>
    <sheet name="BZECfN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1" l="1"/>
  <c r="B23" i="3" s="1"/>
  <c r="B2" i="1"/>
  <c r="AE23" i="3" l="1"/>
  <c r="W23" i="3"/>
  <c r="O23" i="3"/>
  <c r="G23" i="3"/>
  <c r="AD23" i="3"/>
  <c r="V23" i="3"/>
  <c r="N23" i="3"/>
  <c r="F23" i="3"/>
  <c r="Z23" i="3"/>
  <c r="R23" i="3"/>
  <c r="J23" i="3"/>
  <c r="C23" i="3"/>
  <c r="H23" i="3"/>
  <c r="AC23" i="3"/>
  <c r="U23" i="3"/>
  <c r="M23" i="3"/>
  <c r="E23" i="3"/>
  <c r="T23" i="3"/>
  <c r="L23" i="3"/>
  <c r="AA23" i="3"/>
  <c r="K23" i="3"/>
  <c r="AB23" i="3"/>
  <c r="D23" i="3"/>
  <c r="Q23" i="3"/>
  <c r="I23" i="3"/>
  <c r="X23" i="3"/>
  <c r="P23" i="3"/>
  <c r="S23" i="3"/>
  <c r="Y23" i="3"/>
  <c r="B5" i="3"/>
  <c r="AC5" i="3" l="1"/>
  <c r="U5" i="3"/>
  <c r="M5" i="3"/>
  <c r="E5" i="3"/>
  <c r="AB5" i="3"/>
  <c r="T5" i="3"/>
  <c r="L5" i="3"/>
  <c r="D5" i="3"/>
  <c r="Y5" i="3"/>
  <c r="I5" i="3"/>
  <c r="H5" i="3"/>
  <c r="V5" i="3"/>
  <c r="F5" i="3"/>
  <c r="AA5" i="3"/>
  <c r="S5" i="3"/>
  <c r="K5" i="3"/>
  <c r="C5" i="3"/>
  <c r="Z5" i="3"/>
  <c r="R5" i="3"/>
  <c r="J5" i="3"/>
  <c r="Q5" i="3"/>
  <c r="X5" i="3"/>
  <c r="P5" i="3"/>
  <c r="AE5" i="3"/>
  <c r="W5" i="3"/>
  <c r="O5" i="3"/>
  <c r="G5" i="3"/>
  <c r="AD5" i="3"/>
  <c r="N5" i="3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<sst xmlns="http://schemas.openxmlformats.org/spreadsheetml/2006/main" count="144" uniqueCount="137">
  <si>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</si>
  <si>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Alabama</t>
  </si>
  <si>
    <t>AL</t>
  </si>
  <si>
    <t>Alaska</t>
  </si>
  <si>
    <t>AK</t>
  </si>
  <si>
    <t>Source:</t>
  </si>
  <si>
    <t>EIA</t>
  </si>
  <si>
    <t>Arizona</t>
  </si>
  <si>
    <t>AZ</t>
  </si>
  <si>
    <t>Arkansas</t>
  </si>
  <si>
    <t>AR</t>
  </si>
  <si>
    <t>Today in Energy: Five states have implemented programs to assist nuclear power plants</t>
  </si>
  <si>
    <t>California</t>
  </si>
  <si>
    <t>CA</t>
  </si>
  <si>
    <t>https://www.eia.gov/todayinenergy/detail.php?id=41534</t>
  </si>
  <si>
    <t>Colorado</t>
  </si>
  <si>
    <t>CO</t>
  </si>
  <si>
    <t>Connecticut</t>
  </si>
  <si>
    <t>CT</t>
  </si>
  <si>
    <t>Notes</t>
  </si>
  <si>
    <t>Delaware</t>
  </si>
  <si>
    <t>DE</t>
  </si>
  <si>
    <t>This variable uses $/MWh data from states with programs to support nuclear plants,</t>
  </si>
  <si>
    <t>Florida</t>
  </si>
  <si>
    <t>FL</t>
  </si>
  <si>
    <t>multiplied by the national share of nuclear plants that receive such support.</t>
  </si>
  <si>
    <t>Georgia</t>
  </si>
  <si>
    <t>GA</t>
  </si>
  <si>
    <t>Hawaii</t>
  </si>
  <si>
    <t>HI</t>
  </si>
  <si>
    <t>Average support in states that support nuclear plants</t>
  </si>
  <si>
    <t>Idaho</t>
  </si>
  <si>
    <t>ID</t>
  </si>
  <si>
    <t>$/MWh</t>
  </si>
  <si>
    <t>Illinois</t>
  </si>
  <si>
    <t>IL</t>
  </si>
  <si>
    <t>Indiana</t>
  </si>
  <si>
    <t>IN</t>
  </si>
  <si>
    <t>Share of nuclear capacity receiving support</t>
  </si>
  <si>
    <t>Iowa</t>
  </si>
  <si>
    <t>IA</t>
  </si>
  <si>
    <t>Kansas</t>
  </si>
  <si>
    <t>KS</t>
  </si>
  <si>
    <t>Kentucky</t>
  </si>
  <si>
    <t>KY</t>
  </si>
  <si>
    <t>National average support for nuclear plants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</si>
  <si>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</si>
  <si>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</si>
  <si>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</si>
  <si>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</si>
  <si>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</si>
  <si>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</si>
  <si>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</si>
  <si>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</si>
  <si>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</si>
  <si>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</si>
  <si>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</si>
  <si>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</si>
  <si>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</si>
  <si>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</si>
  <si>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</si>
  <si>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</si>
  <si>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</si>
  <si>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</si>
  <si>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</si>
  <si>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</si>
  <si>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</si>
  <si>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</si>
  <si>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</si>
  <si>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</si>
  <si>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</si>
  <si>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</si>
  <si>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</si>
  <si>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</si>
  <si>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</si>
  <si>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</si>
  <si>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</si>
  <si>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</si>
  <si>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</si>
  <si>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</si>
  <si>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</si>
  <si>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</si>
  <si>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</si>
  <si>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</si>
  <si>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</si>
  <si>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</si>
  <si>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</si>
  <si>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</si>
  <si>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</si>
  <si>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</si>
  <si>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</si>
  <si>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</si>
  <si>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</si>
  <si>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</si>
  <si>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</si>
  <si>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</si>
  <si>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</si>
  <si>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</si>
  <si>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</si>
  <si>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</si>
  <si>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</si>
  <si>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</si>
  <si>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</si>
  <si>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</si>
  <si>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</si>
  <si>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</si>
  <si>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</si>
  <si>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</si>
  <si>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</si>
  <si>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</si>
  <si>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</si>
  <si>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</si>
  <si>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Unit: 2012 $/MWh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</si>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</sst>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1</v>
      </c>
      <c r="C1" s="8">
        <v>45182</v>
      </c>
      <c r="F1" s="7" t="s">
        <v>1</v>
      </c>
      <c r="G1" s="7" t="s">
        <v>2</v>
      </c>
    </row>
    <row r="2" spans="1:7" x14ac:dyDescent="0.75">
      <c r="B2" t="str">
        <f>LOOKUP(B1,F1:G50,G1:G50)</f>
        <v>AL</v>
      </c>
      <c r="F2" s="7" t="s">
        <v>3</v>
      </c>
      <c r="G2" s="7" t="s">
        <v>4</v>
      </c>
    </row>
    <row r="3" spans="1:7" x14ac:dyDescent="0.75">
      <c r="A3" s="1" t="s">
        <v>5</v>
      </c>
      <c r="B3" t="s">
        <v>6</v>
      </c>
      <c r="F3" s="7" t="s">
        <v>7</v>
      </c>
      <c r="G3" s="7" t="s">
        <v>8</v>
      </c>
    </row>
    <row r="4" spans="1:7" x14ac:dyDescent="0.75">
      <c r="B4" s="4">
        <v>2019</v>
      </c>
      <c r="F4" s="7" t="s">
        <v>9</v>
      </c>
      <c r="G4" s="7" t="s">
        <v>10</v>
      </c>
    </row>
    <row r="5" spans="1:7" x14ac:dyDescent="0.75">
      <c r="B5" t="s">
        <v>11</v>
      </c>
      <c r="F5" s="7" t="s">
        <v>12</v>
      </c>
      <c r="G5" s="7" t="s">
        <v>13</v>
      </c>
    </row>
    <row r="6" spans="1:7" x14ac:dyDescent="0.75">
      <c r="B6" s="3" t="s">
        <v>14</v>
      </c>
      <c r="F6" s="7" t="s">
        <v>15</v>
      </c>
      <c r="G6" s="7" t="s">
        <v>16</v>
      </c>
    </row>
    <row r="7" spans="1:7" x14ac:dyDescent="0.75">
      <c r="F7" s="7" t="s">
        <v>17</v>
      </c>
      <c r="G7" s="7" t="s">
        <v>18</v>
      </c>
    </row>
    <row r="8" spans="1:7" x14ac:dyDescent="0.75">
      <c r="A8" s="1" t="s">
        <v>19</v>
      </c>
      <c r="F8" s="7" t="s">
        <v>20</v>
      </c>
      <c r="G8" s="7" t="s">
        <v>21</v>
      </c>
    </row>
    <row r="9" spans="1:7" x14ac:dyDescent="0.75">
      <c r="A9" t="s">
        <v>22</v>
      </c>
      <c r="F9" s="7" t="s">
        <v>23</v>
      </c>
      <c r="G9" s="7" t="s">
        <v>24</v>
      </c>
    </row>
    <row r="10" spans="1:7" x14ac:dyDescent="0.75">
      <c r="A10" t="s">
        <v>25</v>
      </c>
      <c r="F10" s="7" t="s">
        <v>26</v>
      </c>
      <c r="G10" s="7" t="s">
        <v>27</v>
      </c>
    </row>
    <row r="11" spans="1:7" x14ac:dyDescent="0.75">
      <c r="F11" s="7" t="s">
        <v>28</v>
      </c>
      <c r="G11" s="7" t="s">
        <v>29</v>
      </c>
    </row>
    <row r="12" spans="1:7" x14ac:dyDescent="0.75">
      <c r="A12" t="s">
        <v>30</v>
      </c>
      <c r="F12" s="7" t="s">
        <v>31</v>
      </c>
      <c r="G12" s="7" t="s">
        <v>32</v>
      </c>
    </row>
    <row r="13" spans="1:7" x14ac:dyDescent="0.75">
      <c r="A13">
        <v>15</v>
      </c>
      <c r="B13" t="s">
        <v>33</v>
      </c>
      <c r="F13" s="7" t="s">
        <v>34</v>
      </c>
      <c r="G13" s="7" t="s">
        <v>35</v>
      </c>
    </row>
    <row r="14" spans="1:7" x14ac:dyDescent="0.75">
      <c r="F14" s="7" t="s">
        <v>36</v>
      </c>
      <c r="G14" s="7" t="s">
        <v>37</v>
      </c>
    </row>
    <row r="15" spans="1:7" x14ac:dyDescent="0.75">
      <c r="A15" t="s">
        <v>38</v>
      </c>
      <c r="F15" s="7" t="s">
        <v>39</v>
      </c>
      <c r="G15" s="7" t="s">
        <v>40</v>
      </c>
    </row>
    <row r="16" spans="1:7" x14ac:dyDescent="0.75">
      <c r="A16" s="5">
        <v>0.13</v>
      </c>
      <c r="F16" s="7" t="s">
        <v>41</v>
      </c>
      <c r="G16" s="7" t="s">
        <v>42</v>
      </c>
    </row>
    <row r="17" spans="1:7" x14ac:dyDescent="0.75">
      <c r="F17" s="7" t="s">
        <v>43</v>
      </c>
      <c r="G17" s="7" t="s">
        <v>44</v>
      </c>
    </row>
    <row r="18" spans="1:7" x14ac:dyDescent="0.75">
      <c r="A18" t="s">
        <v>45</v>
      </c>
      <c r="F18" s="7" t="s">
        <v>46</v>
      </c>
      <c r="G18" s="7" t="s">
        <v>47</v>
      </c>
    </row>
    <row r="19" spans="1:7" x14ac:dyDescent="0.75">
      <c r="A19" s="6">
        <f>A13*A16</f>
        <v>1.9500000000000002</v>
      </c>
      <c r="B19" t="s">
        <v>33</v>
      </c>
      <c r="F19" s="7" t="s">
        <v>48</v>
      </c>
      <c r="G19" s="7" t="s">
        <v>49</v>
      </c>
    </row>
    <row r="20" spans="1:7" x14ac:dyDescent="0.75">
      <c r="F20" s="7" t="s">
        <v>50</v>
      </c>
      <c r="G20" s="7" t="s">
        <v>51</v>
      </c>
    </row>
    <row r="21" spans="1:7" x14ac:dyDescent="0.75">
      <c r="F21" s="7" t="s">
        <v>52</v>
      </c>
      <c r="G21" s="7" t="s">
        <v>53</v>
      </c>
    </row>
    <row r="22" spans="1:7" x14ac:dyDescent="0.75">
      <c r="F22" s="7" t="s">
        <v>54</v>
      </c>
      <c r="G22" s="7" t="s">
        <v>55</v>
      </c>
    </row>
    <row r="23" spans="1:7" x14ac:dyDescent="0.75">
      <c r="F23" s="7" t="s">
        <v>56</v>
      </c>
      <c r="G23" s="7" t="s">
        <v>57</v>
      </c>
    </row>
    <row r="24" spans="1:7" x14ac:dyDescent="0.75">
      <c r="F24" s="7" t="s">
        <v>58</v>
      </c>
      <c r="G24" s="7" t="s">
        <v>59</v>
      </c>
    </row>
    <row r="25" spans="1:7" x14ac:dyDescent="0.75">
      <c r="F25" s="7" t="s">
        <v>60</v>
      </c>
      <c r="G25" s="7" t="s">
        <v>61</v>
      </c>
    </row>
    <row r="26" spans="1:7" x14ac:dyDescent="0.75">
      <c r="F26" s="7" t="s">
        <v>62</v>
      </c>
      <c r="G26" s="7" t="s">
        <v>63</v>
      </c>
    </row>
    <row r="27" spans="1:7" x14ac:dyDescent="0.75">
      <c r="F27" s="7" t="s">
        <v>64</v>
      </c>
      <c r="G27" s="7" t="s">
        <v>65</v>
      </c>
    </row>
    <row r="28" spans="1:7" x14ac:dyDescent="0.75">
      <c r="F28" s="7" t="s">
        <v>66</v>
      </c>
      <c r="G28" s="7" t="s">
        <v>67</v>
      </c>
    </row>
    <row r="29" spans="1:7" x14ac:dyDescent="0.75">
      <c r="F29" s="7" t="s">
        <v>68</v>
      </c>
      <c r="G29" s="7" t="s">
        <v>69</v>
      </c>
    </row>
    <row r="30" spans="1:7" x14ac:dyDescent="0.75">
      <c r="F30" s="7" t="s">
        <v>70</v>
      </c>
      <c r="G30" s="7" t="s">
        <v>71</v>
      </c>
    </row>
    <row r="31" spans="1:7" x14ac:dyDescent="0.75">
      <c r="F31" s="7" t="s">
        <v>72</v>
      </c>
      <c r="G31" s="7" t="s">
        <v>73</v>
      </c>
    </row>
    <row r="32" spans="1:7" x14ac:dyDescent="0.75">
      <c r="F32" s="7" t="s">
        <v>74</v>
      </c>
      <c r="G32" s="7" t="s">
        <v>75</v>
      </c>
    </row>
    <row r="33" spans="6:7" x14ac:dyDescent="0.75">
      <c r="F33" s="7" t="s">
        <v>76</v>
      </c>
      <c r="G33" s="7" t="s">
        <v>77</v>
      </c>
    </row>
    <row r="34" spans="6:7" x14ac:dyDescent="0.75">
      <c r="F34" s="7" t="s">
        <v>78</v>
      </c>
      <c r="G34" s="7" t="s">
        <v>79</v>
      </c>
    </row>
    <row r="35" spans="6:7" x14ac:dyDescent="0.75">
      <c r="F35" s="7" t="s">
        <v>80</v>
      </c>
      <c r="G35" s="7" t="s">
        <v>81</v>
      </c>
    </row>
    <row r="36" spans="6:7" x14ac:dyDescent="0.75">
      <c r="F36" s="7" t="s">
        <v>82</v>
      </c>
      <c r="G36" s="7" t="s">
        <v>83</v>
      </c>
    </row>
    <row r="37" spans="6:7" x14ac:dyDescent="0.75">
      <c r="F37" s="7" t="s">
        <v>84</v>
      </c>
      <c r="G37" s="7" t="s">
        <v>85</v>
      </c>
    </row>
    <row r="38" spans="6:7" x14ac:dyDescent="0.75">
      <c r="F38" s="7" t="s">
        <v>86</v>
      </c>
      <c r="G38" s="7" t="s">
        <v>87</v>
      </c>
    </row>
    <row r="39" spans="6:7" x14ac:dyDescent="0.75">
      <c r="F39" s="7" t="s">
        <v>88</v>
      </c>
      <c r="G39" s="7" t="s">
        <v>89</v>
      </c>
    </row>
    <row r="40" spans="6:7" x14ac:dyDescent="0.75">
      <c r="F40" s="7" t="s">
        <v>90</v>
      </c>
      <c r="G40" s="7" t="s">
        <v>91</v>
      </c>
    </row>
    <row r="41" spans="6:7" x14ac:dyDescent="0.75">
      <c r="F41" s="7" t="s">
        <v>92</v>
      </c>
      <c r="G41" s="7" t="s">
        <v>93</v>
      </c>
    </row>
    <row r="42" spans="6:7" x14ac:dyDescent="0.75">
      <c r="F42" s="7" t="s">
        <v>94</v>
      </c>
      <c r="G42" s="7" t="s">
        <v>95</v>
      </c>
    </row>
    <row r="43" spans="6:7" x14ac:dyDescent="0.75">
      <c r="F43" s="7" t="s">
        <v>96</v>
      </c>
      <c r="G43" s="7" t="s">
        <v>97</v>
      </c>
    </row>
    <row r="44" spans="6:7" x14ac:dyDescent="0.75">
      <c r="F44" s="7" t="s">
        <v>98</v>
      </c>
      <c r="G44" s="7" t="s">
        <v>99</v>
      </c>
    </row>
    <row r="45" spans="6:7" x14ac:dyDescent="0.75">
      <c r="F45" s="7" t="s">
        <v>100</v>
      </c>
      <c r="G45" s="7" t="s">
        <v>101</v>
      </c>
    </row>
    <row r="46" spans="6:7" x14ac:dyDescent="0.75">
      <c r="F46" s="7" t="s">
        <v>102</v>
      </c>
      <c r="G46" s="7" t="s">
        <v>103</v>
      </c>
    </row>
    <row r="47" spans="6:7" x14ac:dyDescent="0.75">
      <c r="F47" s="7" t="s">
        <v>104</v>
      </c>
      <c r="G47" s="7" t="s">
        <v>105</v>
      </c>
    </row>
    <row r="48" spans="6:7" x14ac:dyDescent="0.75">
      <c r="F48" s="7" t="s">
        <v>106</v>
      </c>
      <c r="G48" s="7" t="s">
        <v>107</v>
      </c>
    </row>
    <row r="49" spans="6:7" x14ac:dyDescent="0.75">
      <c r="F49" s="7" t="s">
        <v>108</v>
      </c>
      <c r="G49" s="7" t="s">
        <v>109</v>
      </c>
    </row>
    <row r="50" spans="6:7" x14ac:dyDescent="0.75">
      <c r="F50" s="7" t="s">
        <v>110</v>
      </c>
      <c r="G50" s="7" t="s">
        <v>111</v>
      </c>
    </row>
  </sheetData>
  <hyperlinks>
    <hyperlink ref="B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33</v>
      </c>
    </row>
    <row r="3" spans="1:2" x14ac:dyDescent="0.75">
      <c r="A3" t="s">
        <v>74</v>
      </c>
    </row>
    <row r="4" spans="1:2" x14ac:dyDescent="0.75">
      <c r="A4" t="s">
        <v>34</v>
      </c>
    </row>
    <row r="5" spans="1:2" x14ac:dyDescent="0.75">
      <c r="A5" t="s">
        <v>17</v>
      </c>
    </row>
    <row r="6" spans="1:2" x14ac:dyDescent="0.75">
      <c r="A6" t="s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112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116</v>
      </c>
      <c r="B5">
        <f>About!$A$19</f>
        <v>1.9500000000000002</v>
      </c>
      <c r="C5">
        <f t="shared" ref="C5:AE5" si="0">$B5</f>
        <v>1.9500000000000002</v>
      </c>
      <c r="D5">
        <f t="shared" si="0"/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120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121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122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123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124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125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126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127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128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129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130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131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132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133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134</v>
      </c>
      <c r="B23">
        <f>About!$A$19</f>
        <v>1.9500000000000002</v>
      </c>
      <c r="C23">
        <f t="shared" ref="C23:AE23" si="1">$B23</f>
        <v>1.9500000000000002</v>
      </c>
      <c r="D23">
        <f t="shared" si="1"/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135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136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2023-09-27T23:40:55Z</dcterms:modified>
</cp:coreProperties>
</file>