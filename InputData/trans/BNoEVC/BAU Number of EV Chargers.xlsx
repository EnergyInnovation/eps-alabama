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NoEVC\"/>
    </mc:Choice>
  </mc:AlternateContent>
  <xr:revisionPtr revIDLastSave="0" documentId="13_ncr:1_{52C3E48D-E456-487D-A767-B184C415E175}" xr6:coauthVersionLast="47" xr6:coauthVersionMax="47" xr10:uidLastSave="{00000000-0000-0000-0000-000000000000}"/>
  <bookViews>
    <workbookView xWindow="720" yWindow="720" windowWidth="14400" windowHeight="745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B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AF8" i="5" a="1"/>
  <c r="AF8" i="5"/>
  <c r="AE8" i="5" a="1"/>
  <c r="AE8" i="5" s="1"/>
  <c r="AD8" i="5" a="1"/>
  <c r="AD8" i="5"/>
  <c r="AC8" i="5" a="1"/>
  <c r="AC8" i="5"/>
  <c r="AB8" i="5" a="1"/>
  <c r="AB8" i="5"/>
  <c r="AA8" i="5" a="1"/>
  <c r="AA8" i="5" s="1"/>
  <c r="Z8" i="5" a="1"/>
  <c r="Z8" i="5"/>
  <c r="Y8" i="5" a="1"/>
  <c r="Y8" i="5"/>
  <c r="X8" i="5" a="1"/>
  <c r="X8" i="5"/>
  <c r="W8" i="5" a="1"/>
  <c r="W8" i="5" s="1"/>
  <c r="V8" i="5" a="1"/>
  <c r="V8" i="5"/>
  <c r="U8" i="5" a="1"/>
  <c r="U8" i="5"/>
  <c r="T8" i="5" a="1"/>
  <c r="T8" i="5"/>
  <c r="S8" i="5" a="1"/>
  <c r="S8" i="5" s="1"/>
  <c r="R8" i="5" a="1"/>
  <c r="R8" i="5"/>
  <c r="Q8" i="5" a="1"/>
  <c r="Q8" i="5"/>
  <c r="P8" i="5" a="1"/>
  <c r="P8" i="5"/>
  <c r="O8" i="5" a="1"/>
  <c r="O8" i="5" s="1"/>
  <c r="N8" i="5" a="1"/>
  <c r="N8" i="5"/>
  <c r="M8" i="5" a="1"/>
  <c r="M8" i="5"/>
  <c r="L8" i="5" a="1"/>
  <c r="L8" i="5"/>
  <c r="K8" i="5" a="1"/>
  <c r="K8" i="5" s="1"/>
  <c r="J8" i="5" a="1"/>
  <c r="J8" i="5"/>
  <c r="I8" i="5" a="1"/>
  <c r="I8" i="5"/>
  <c r="H8" i="5" a="1"/>
  <c r="H8" i="5"/>
  <c r="G8" i="5" a="1"/>
  <c r="G8" i="5" s="1"/>
  <c r="F8" i="5" a="1"/>
  <c r="F8" i="5"/>
  <c r="E8" i="5" a="1"/>
  <c r="E8" i="5"/>
  <c r="D8" i="5" a="1"/>
  <c r="D8" i="5"/>
  <c r="B8" i="5" s="1"/>
  <c r="B11" i="5" s="1"/>
  <c r="C8" i="5"/>
  <c r="C11" i="5" s="1"/>
  <c r="H21" i="4"/>
  <c r="J10" i="5" s="1"/>
  <c r="G21" i="4"/>
  <c r="I10" i="5" s="1"/>
  <c r="L18" i="4"/>
  <c r="L21" i="4" s="1"/>
  <c r="K18" i="4"/>
  <c r="K21" i="4" s="1"/>
  <c r="M10" i="5" s="1"/>
  <c r="J18" i="4"/>
  <c r="J21" i="4" s="1"/>
  <c r="L10" i="5" s="1"/>
  <c r="I18" i="4"/>
  <c r="I21" i="4" s="1"/>
  <c r="K10" i="5" s="1"/>
  <c r="H18" i="4"/>
  <c r="G18" i="4"/>
  <c r="F18" i="4"/>
  <c r="F21" i="4" s="1"/>
  <c r="H10" i="5" s="1"/>
  <c r="E18" i="4"/>
  <c r="E21" i="4" s="1"/>
  <c r="G10" i="5" s="1"/>
  <c r="D18" i="4"/>
  <c r="D21" i="4" s="1"/>
  <c r="F10" i="5" s="1"/>
  <c r="C18" i="4"/>
  <c r="C21" i="4" s="1"/>
  <c r="B6" i="3"/>
  <c r="B10" i="3" s="1"/>
  <c r="B5" i="3"/>
  <c r="B2" i="1"/>
  <c r="B2" i="7" l="1"/>
  <c r="D11" i="5"/>
  <c r="B2" i="8"/>
  <c r="C9" i="7"/>
  <c r="E9" i="5"/>
  <c r="H9" i="5"/>
  <c r="G9" i="5"/>
  <c r="F9" i="5"/>
  <c r="E10" i="5"/>
  <c r="B23" i="4"/>
  <c r="C2" i="8" l="1"/>
  <c r="E11" i="5"/>
  <c r="C2" i="7"/>
  <c r="C3" i="7" s="1"/>
  <c r="D2" i="7" l="1"/>
  <c r="D3" i="7" s="1"/>
  <c r="D9" i="7" s="1"/>
  <c r="F11" i="5"/>
  <c r="E2" i="7" l="1"/>
  <c r="E3" i="7" s="1"/>
  <c r="G11" i="5"/>
  <c r="E9" i="7"/>
  <c r="D2" i="8"/>
  <c r="F2" i="7" l="1"/>
  <c r="F3" i="7" s="1"/>
  <c r="F9" i="7" s="1"/>
  <c r="H11" i="5"/>
  <c r="E2" i="8"/>
  <c r="F2" i="8" l="1"/>
  <c r="I11" i="5"/>
  <c r="G2" i="7"/>
  <c r="G3" i="7" s="1"/>
  <c r="G9" i="7" s="1"/>
  <c r="G2" i="8" l="1"/>
  <c r="H2" i="7"/>
  <c r="H3" i="7" s="1"/>
  <c r="H9" i="7" s="1"/>
  <c r="J11" i="5"/>
  <c r="H2" i="8" l="1"/>
  <c r="I2" i="7"/>
  <c r="I3" i="7" s="1"/>
  <c r="I9" i="7" s="1"/>
  <c r="K11" i="5"/>
  <c r="I2" i="8" l="1"/>
  <c r="J2" i="7"/>
  <c r="J3" i="7" s="1"/>
  <c r="J9" i="7" s="1"/>
  <c r="L11" i="5"/>
  <c r="J2" i="8" l="1"/>
  <c r="M11" i="5"/>
  <c r="K2" i="7"/>
  <c r="K3" i="7" s="1"/>
  <c r="K9" i="7" s="1"/>
  <c r="K2" i="8" l="1"/>
  <c r="N11" i="5"/>
  <c r="L2" i="7"/>
  <c r="L3" i="7" s="1"/>
  <c r="L9" i="7" s="1"/>
  <c r="L2" i="8" l="1"/>
  <c r="M2" i="7"/>
  <c r="M3" i="7" s="1"/>
  <c r="M9" i="7" s="1"/>
  <c r="O11" i="5"/>
  <c r="M2" i="8" l="1"/>
  <c r="N2" i="7"/>
  <c r="N3" i="7" s="1"/>
  <c r="N9" i="7" s="1"/>
  <c r="P11" i="5"/>
  <c r="N2" i="8" l="1"/>
  <c r="Q11" i="5"/>
  <c r="O2" i="7"/>
  <c r="O3" i="7" s="1"/>
  <c r="O9" i="7" s="1"/>
  <c r="O2" i="8" l="1"/>
  <c r="P2" i="7"/>
  <c r="P3" i="7" s="1"/>
  <c r="P9" i="7" s="1"/>
  <c r="R11" i="5"/>
  <c r="P2" i="8" l="1"/>
  <c r="S11" i="5"/>
  <c r="Q2" i="7"/>
  <c r="Q3" i="7" s="1"/>
  <c r="Q9" i="7" s="1"/>
  <c r="Q2" i="8" l="1"/>
  <c r="R2" i="7"/>
  <c r="R3" i="7" s="1"/>
  <c r="R9" i="7" s="1"/>
  <c r="T11" i="5"/>
  <c r="R2" i="8" l="1"/>
  <c r="U11" i="5"/>
  <c r="S2" i="7"/>
  <c r="S3" i="7" s="1"/>
  <c r="S9" i="7" s="1"/>
  <c r="S2" i="8" l="1"/>
  <c r="T2" i="7"/>
  <c r="T3" i="7" s="1"/>
  <c r="T9" i="7" s="1"/>
  <c r="V11" i="5"/>
  <c r="T2" i="8" l="1"/>
  <c r="U2" i="7"/>
  <c r="U3" i="7" s="1"/>
  <c r="U9" i="7" s="1"/>
  <c r="W11" i="5"/>
  <c r="U2" i="8" l="1"/>
  <c r="X11" i="5"/>
  <c r="V2" i="7"/>
  <c r="V3" i="7" s="1"/>
  <c r="V9" i="7" s="1"/>
  <c r="V2" i="8" l="1"/>
  <c r="Y11" i="5"/>
  <c r="W2" i="7"/>
  <c r="W3" i="7" s="1"/>
  <c r="W9" i="7" s="1"/>
  <c r="W2" i="8" l="1"/>
  <c r="X2" i="7"/>
  <c r="X3" i="7" s="1"/>
  <c r="X9" i="7" s="1"/>
  <c r="Z11" i="5"/>
  <c r="X2" i="8" l="1"/>
  <c r="Y2" i="7"/>
  <c r="Y3" i="7" s="1"/>
  <c r="Y9" i="7" s="1"/>
  <c r="AA11" i="5"/>
  <c r="Y2" i="8" l="1"/>
  <c r="Z2" i="7"/>
  <c r="Z3" i="7" s="1"/>
  <c r="Z9" i="7" s="1"/>
  <c r="AB11" i="5"/>
  <c r="Z2" i="8" l="1"/>
  <c r="AC11" i="5"/>
  <c r="AA2" i="7"/>
  <c r="AA3" i="7" s="1"/>
  <c r="AA9" i="7" s="1"/>
  <c r="AA2" i="8" l="1"/>
  <c r="AD11" i="5"/>
  <c r="AB2" i="7"/>
  <c r="AB3" i="7" s="1"/>
  <c r="AB9" i="7" s="1"/>
  <c r="AB2" i="8" l="1"/>
  <c r="AC2" i="7"/>
  <c r="AC3" i="7" s="1"/>
  <c r="AC9" i="7" s="1"/>
  <c r="AE11" i="5"/>
  <c r="AC2" i="8" l="1"/>
  <c r="AD2" i="7"/>
  <c r="AD3" i="7" s="1"/>
  <c r="AD9" i="7" s="1"/>
  <c r="AF11" i="5"/>
  <c r="AE2" i="7" s="1"/>
  <c r="AE3" i="7" s="1"/>
  <c r="AD2" i="8" l="1"/>
  <c r="AE9" i="7"/>
  <c r="AE2" i="8" s="1"/>
</calcChain>
</file>

<file path=xl/sharedStrings.xml><?xml version="1.0" encoding="utf-8"?>
<sst xmlns="http://schemas.openxmlformats.org/spreadsheetml/2006/main" count="212" uniqueCount="159">
  <si>
    <t>BNoEVC BAU Number of EV Chargers</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</si>
  <si>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</si>
  <si>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</si>
  <si>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</si>
  <si>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</si>
  <si>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</si>
  <si>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</si>
  <si>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</si>
  <si>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</si>
  <si>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</si>
  <si>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</si>
  <si>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</si>
  <si>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</si>
  <si>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</si>
  <si>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</si>
  <si>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</si>
  <si>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</si>
  <si>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</si>
  <si>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</si>
  <si>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</si>
  <si>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</si>
  <si>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</si>
  <si>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</si>
  <si>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</si>
  <si>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</si>
  <si>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</si>
  <si>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</si>
  <si>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</si>
  <si>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</si>
  <si>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</si>
  <si>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</si>
  <si>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</si>
  <si>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</si>
  <si>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</si>
  <si>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</si>
  <si>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</si>
  <si>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</si>
  <si>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</si>
  <si>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</si>
  <si>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Iowa</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</si>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</sst>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4.75"/>
  <cols>
    <col min="1" max="1" width="16.54296875" customWidth="1"/>
    <col min="2" max="2" width="31.86328125" customWidth="1"/>
  </cols>
  <sheetData>
    <row r="1" spans="1:7">
      <c r="A1" s="1" t="s">
        <v>0</v>
      </c>
      <c r="B1" s="51" t="s">
        <v>1</v>
      </c>
      <c r="C1" s="52">
        <v>45194</v>
      </c>
      <c r="F1" s="51" t="s">
        <v>1</v>
      </c>
      <c r="G1" s="51" t="s">
        <v>2</v>
      </c>
    </row>
    <row r="2" spans="1:7">
      <c r="B2" t="str">
        <f>LOOKUP(B1,F1:G50,G1:G50)</f>
        <v>AL</v>
      </c>
      <c r="F2" s="51" t="s">
        <v>3</v>
      </c>
      <c r="G2" s="51" t="s">
        <v>4</v>
      </c>
    </row>
    <row r="3" spans="1:7">
      <c r="A3" s="1" t="s">
        <v>5</v>
      </c>
      <c r="B3" s="4" t="s">
        <v>6</v>
      </c>
      <c r="F3" s="51" t="s">
        <v>7</v>
      </c>
      <c r="G3" s="51" t="s">
        <v>8</v>
      </c>
    </row>
    <row r="4" spans="1:7">
      <c r="B4" t="s">
        <v>9</v>
      </c>
      <c r="F4" s="51" t="s">
        <v>10</v>
      </c>
      <c r="G4" s="51" t="s">
        <v>11</v>
      </c>
    </row>
    <row r="5" spans="1:7">
      <c r="B5" s="5">
        <v>2018</v>
      </c>
      <c r="F5" s="51" t="s">
        <v>12</v>
      </c>
      <c r="G5" s="51" t="s">
        <v>13</v>
      </c>
    </row>
    <row r="6" spans="1:7">
      <c r="B6" t="s">
        <v>14</v>
      </c>
      <c r="F6" s="51" t="s">
        <v>15</v>
      </c>
      <c r="G6" s="51" t="s">
        <v>16</v>
      </c>
    </row>
    <row r="7" spans="1:7">
      <c r="B7" t="s">
        <v>17</v>
      </c>
      <c r="F7" s="51" t="s">
        <v>18</v>
      </c>
      <c r="G7" s="51" t="s">
        <v>19</v>
      </c>
    </row>
    <row r="8" spans="1:7">
      <c r="F8" s="51" t="s">
        <v>20</v>
      </c>
      <c r="G8" s="51" t="s">
        <v>21</v>
      </c>
    </row>
    <row r="9" spans="1:7">
      <c r="B9" s="4" t="s">
        <v>22</v>
      </c>
      <c r="F9" s="51" t="s">
        <v>23</v>
      </c>
      <c r="G9" s="51" t="s">
        <v>24</v>
      </c>
    </row>
    <row r="10" spans="1:7">
      <c r="B10" t="s">
        <v>25</v>
      </c>
      <c r="F10" s="51" t="s">
        <v>26</v>
      </c>
      <c r="G10" s="51" t="s">
        <v>27</v>
      </c>
    </row>
    <row r="11" spans="1:7">
      <c r="B11" s="5">
        <v>2023</v>
      </c>
      <c r="F11" s="51" t="s">
        <v>28</v>
      </c>
      <c r="G11" s="51" t="s">
        <v>29</v>
      </c>
    </row>
    <row r="12" spans="1:7">
      <c r="B12" t="s">
        <v>30</v>
      </c>
      <c r="F12" s="51" t="s">
        <v>31</v>
      </c>
      <c r="G12" s="51" t="s">
        <v>32</v>
      </c>
    </row>
    <row r="13" spans="1:7">
      <c r="B13" s="6" t="s">
        <v>33</v>
      </c>
      <c r="F13" s="51" t="s">
        <v>34</v>
      </c>
      <c r="G13" s="51" t="s">
        <v>35</v>
      </c>
    </row>
    <row r="14" spans="1:7">
      <c r="F14" s="51" t="s">
        <v>36</v>
      </c>
      <c r="G14" s="51" t="s">
        <v>37</v>
      </c>
    </row>
    <row r="15" spans="1:7">
      <c r="A15" s="1" t="s">
        <v>38</v>
      </c>
      <c r="F15" s="51" t="s">
        <v>39</v>
      </c>
      <c r="G15" s="51" t="s">
        <v>40</v>
      </c>
    </row>
    <row r="16" spans="1:7">
      <c r="A16" t="s">
        <v>41</v>
      </c>
      <c r="B16">
        <v>0.89805481563188172</v>
      </c>
      <c r="F16" s="51" t="s">
        <v>42</v>
      </c>
      <c r="G16" s="51" t="s">
        <v>43</v>
      </c>
    </row>
    <row r="17" spans="1:7">
      <c r="A17" t="s">
        <v>44</v>
      </c>
      <c r="B17">
        <v>0.84730412960844359</v>
      </c>
      <c r="F17" s="51" t="s">
        <v>45</v>
      </c>
      <c r="G17" s="51" t="s">
        <v>46</v>
      </c>
    </row>
    <row r="18" spans="1:7">
      <c r="A18" t="s">
        <v>47</v>
      </c>
      <c r="B18" s="14">
        <v>0.78500000000000003</v>
      </c>
      <c r="F18" s="51" t="s">
        <v>48</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4.75"/>
  <cols>
    <col min="1" max="1" width="29.13281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4296875" defaultRowHeight="15.75" customHeight="1"/>
  <cols>
    <col min="1" max="1" width="60.7265625" style="10" customWidth="1"/>
    <col min="2" max="2" width="27.40625" style="10" customWidth="1"/>
    <col min="3" max="3" width="17.86328125" style="10" customWidth="1"/>
    <col min="4" max="4" width="18.1328125" style="10" customWidth="1"/>
    <col min="5" max="6" width="16.1328125" style="10" customWidth="1"/>
    <col min="7" max="11" width="12.54296875" style="10" customWidth="1"/>
    <col min="12" max="12" width="16.40625" style="10" customWidth="1"/>
    <col min="13" max="13" width="12.54296875" style="10" customWidth="1"/>
    <col min="14" max="16384" width="12.5429687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4.75"/>
  <cols>
    <col min="1" max="1" width="45.1328125" customWidth="1"/>
    <col min="2" max="2" width="26.406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6328125" defaultRowHeight="13"/>
  <cols>
    <col min="1" max="1" width="19.86328125" style="21" customWidth="1"/>
    <col min="2" max="2" width="32.54296875" style="21" customWidth="1"/>
    <col min="3" max="3" width="8.86328125" style="21" customWidth="1"/>
    <col min="4" max="16384" width="8.8632812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1</v>
      </c>
      <c r="B5" s="32">
        <v>326</v>
      </c>
      <c r="C5" s="49">
        <v>848</v>
      </c>
    </row>
    <row r="6" spans="1:4" ht="13.5" customHeight="1" thickBot="1">
      <c r="A6" s="27"/>
      <c r="B6" s="33">
        <v>35</v>
      </c>
      <c r="C6" s="21">
        <v>574</v>
      </c>
      <c r="D6" s="21">
        <v>239</v>
      </c>
    </row>
    <row r="7" spans="1:4">
      <c r="A7" s="30" t="s">
        <v>3</v>
      </c>
      <c r="B7" s="34">
        <v>62</v>
      </c>
      <c r="C7" s="49">
        <v>115</v>
      </c>
    </row>
    <row r="8" spans="1:4" ht="13.5" customHeight="1" thickBot="1">
      <c r="A8" s="31"/>
      <c r="B8" s="35">
        <v>3</v>
      </c>
      <c r="C8" s="21">
        <v>81</v>
      </c>
      <c r="D8" s="21">
        <v>31</v>
      </c>
    </row>
    <row r="9" spans="1:4">
      <c r="A9" s="26" t="s">
        <v>7</v>
      </c>
      <c r="B9" s="32">
        <v>977</v>
      </c>
      <c r="C9" s="49">
        <v>2638</v>
      </c>
    </row>
    <row r="10" spans="1:4" ht="13.5" customHeight="1" thickBot="1">
      <c r="A10" s="27"/>
      <c r="B10" s="33">
        <v>9</v>
      </c>
      <c r="C10" s="21">
        <v>2036</v>
      </c>
      <c r="D10" s="21">
        <v>593</v>
      </c>
    </row>
    <row r="11" spans="1:4">
      <c r="A11" s="30" t="s">
        <v>10</v>
      </c>
      <c r="B11" s="34">
        <v>222</v>
      </c>
      <c r="C11" s="49">
        <v>598</v>
      </c>
    </row>
    <row r="12" spans="1:4" ht="13.5" customHeight="1" thickBot="1">
      <c r="A12" s="31"/>
      <c r="B12" s="35">
        <v>3</v>
      </c>
      <c r="C12" s="21">
        <v>516</v>
      </c>
      <c r="D12" s="21">
        <v>79</v>
      </c>
    </row>
    <row r="13" spans="1:4">
      <c r="A13" s="26" t="s">
        <v>12</v>
      </c>
      <c r="B13" s="43">
        <v>14616</v>
      </c>
      <c r="C13" s="49">
        <v>43400</v>
      </c>
    </row>
    <row r="14" spans="1:4" ht="13.5" customHeight="1" thickBot="1">
      <c r="A14" s="27"/>
      <c r="B14" s="33">
        <v>546</v>
      </c>
      <c r="C14" s="21">
        <v>34359</v>
      </c>
      <c r="D14" s="22">
        <v>8465</v>
      </c>
    </row>
    <row r="15" spans="1:4">
      <c r="A15" s="30" t="s">
        <v>15</v>
      </c>
      <c r="B15" s="44">
        <v>1788</v>
      </c>
      <c r="C15" s="49">
        <v>4411</v>
      </c>
    </row>
    <row r="16" spans="1:4" ht="13.5" customHeight="1" thickBot="1">
      <c r="A16" s="31"/>
      <c r="B16" s="35">
        <v>90</v>
      </c>
      <c r="C16" s="21">
        <v>3588</v>
      </c>
      <c r="D16" s="21">
        <v>733</v>
      </c>
    </row>
    <row r="17" spans="1:4">
      <c r="A17" s="26" t="s">
        <v>18</v>
      </c>
      <c r="B17" s="32">
        <v>593</v>
      </c>
      <c r="C17" s="49">
        <v>1638</v>
      </c>
    </row>
    <row r="18" spans="1:4" ht="13.5" customHeight="1" thickBot="1">
      <c r="A18" s="27"/>
      <c r="B18" s="33">
        <v>67</v>
      </c>
      <c r="C18" s="21">
        <v>1220</v>
      </c>
      <c r="D18" s="21">
        <v>349</v>
      </c>
    </row>
    <row r="19" spans="1:4">
      <c r="A19" s="30" t="s">
        <v>20</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23</v>
      </c>
      <c r="B23" s="44">
        <v>2913</v>
      </c>
      <c r="C23" s="49">
        <v>7802</v>
      </c>
    </row>
    <row r="24" spans="1:4" ht="13.5" customHeight="1" thickBot="1">
      <c r="A24" s="31"/>
      <c r="B24" s="35">
        <v>364</v>
      </c>
      <c r="C24" s="21">
        <v>5823</v>
      </c>
      <c r="D24" s="22">
        <v>1615</v>
      </c>
    </row>
    <row r="25" spans="1:4">
      <c r="A25" s="26" t="s">
        <v>26</v>
      </c>
      <c r="B25" s="43">
        <v>1550</v>
      </c>
      <c r="C25" s="49">
        <v>4121</v>
      </c>
    </row>
    <row r="26" spans="1:4" ht="13.5" customHeight="1" thickBot="1">
      <c r="A26" s="27"/>
      <c r="B26" s="33">
        <v>230</v>
      </c>
      <c r="C26" s="21">
        <v>3097</v>
      </c>
      <c r="D26" s="21">
        <v>794</v>
      </c>
    </row>
    <row r="27" spans="1:4">
      <c r="A27" s="30" t="s">
        <v>28</v>
      </c>
      <c r="B27" s="34">
        <v>406</v>
      </c>
      <c r="C27" s="49">
        <v>940</v>
      </c>
    </row>
    <row r="28" spans="1:4" ht="13.5" customHeight="1" thickBot="1">
      <c r="A28" s="31"/>
      <c r="B28" s="35">
        <v>30</v>
      </c>
      <c r="C28" s="21">
        <v>833</v>
      </c>
      <c r="D28" s="21">
        <v>77</v>
      </c>
    </row>
    <row r="29" spans="1:4">
      <c r="A29" s="26" t="s">
        <v>31</v>
      </c>
      <c r="B29" s="32">
        <v>155</v>
      </c>
      <c r="C29" s="49">
        <v>382</v>
      </c>
    </row>
    <row r="30" spans="1:4" ht="13.5" customHeight="1" thickBot="1">
      <c r="A30" s="27"/>
      <c r="B30" s="33">
        <v>10</v>
      </c>
      <c r="C30" s="21">
        <v>285</v>
      </c>
      <c r="D30" s="21">
        <v>87</v>
      </c>
    </row>
    <row r="31" spans="1:4">
      <c r="A31" s="30" t="s">
        <v>34</v>
      </c>
      <c r="B31" s="44">
        <v>1328</v>
      </c>
      <c r="C31" s="49">
        <v>3315</v>
      </c>
    </row>
    <row r="32" spans="1:4" ht="13.5" customHeight="1" thickBot="1">
      <c r="A32" s="31"/>
      <c r="B32" s="35">
        <v>50</v>
      </c>
      <c r="C32" s="21">
        <v>2593</v>
      </c>
      <c r="D32" s="21">
        <v>672</v>
      </c>
    </row>
    <row r="33" spans="1:4">
      <c r="A33" s="26" t="s">
        <v>36</v>
      </c>
      <c r="B33" s="32">
        <v>400</v>
      </c>
      <c r="C33" s="49">
        <v>1088</v>
      </c>
    </row>
    <row r="34" spans="1:4" ht="13.5" customHeight="1" thickBot="1">
      <c r="A34" s="27"/>
      <c r="B34" s="33">
        <v>8</v>
      </c>
      <c r="C34" s="21">
        <v>743</v>
      </c>
      <c r="D34" s="21">
        <v>337</v>
      </c>
    </row>
    <row r="35" spans="1:4">
      <c r="A35" s="30" t="s">
        <v>39</v>
      </c>
      <c r="B35" s="34">
        <v>305</v>
      </c>
      <c r="C35" s="49">
        <v>659</v>
      </c>
    </row>
    <row r="36" spans="1:4" ht="13.5" customHeight="1" thickBot="1">
      <c r="A36" s="31"/>
      <c r="B36" s="35">
        <v>4</v>
      </c>
      <c r="C36" s="21">
        <v>420</v>
      </c>
      <c r="D36" s="21">
        <v>235</v>
      </c>
    </row>
    <row r="37" spans="1:4">
      <c r="A37" s="26" t="s">
        <v>42</v>
      </c>
      <c r="B37" s="32">
        <v>491</v>
      </c>
      <c r="C37" s="49">
        <v>1047</v>
      </c>
    </row>
    <row r="38" spans="1:4" ht="13.5" customHeight="1" thickBot="1">
      <c r="A38" s="27"/>
      <c r="B38" s="33">
        <v>14</v>
      </c>
      <c r="C38" s="21">
        <v>878</v>
      </c>
      <c r="D38" s="21">
        <v>155</v>
      </c>
    </row>
    <row r="39" spans="1:4">
      <c r="A39" s="30" t="s">
        <v>45</v>
      </c>
      <c r="B39" s="34">
        <v>252</v>
      </c>
      <c r="C39" s="49">
        <v>616</v>
      </c>
    </row>
    <row r="40" spans="1:4" ht="13.5" customHeight="1" thickBot="1">
      <c r="A40" s="31"/>
      <c r="B40" s="35">
        <v>24</v>
      </c>
      <c r="C40" s="21">
        <v>481</v>
      </c>
      <c r="D40" s="21">
        <v>111</v>
      </c>
    </row>
    <row r="41" spans="1:4">
      <c r="A41" s="26" t="s">
        <v>48</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5" customHeight="1">
      <c r="A113" s="24" t="s">
        <v>152</v>
      </c>
      <c r="B113" s="24"/>
    </row>
    <row r="114" spans="1:2" ht="38.15"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4.75"/>
  <cols>
    <col min="1" max="1" width="21" customWidth="1"/>
    <col min="2" max="2" width="11.5429687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Alabama</v>
      </c>
      <c r="B6">
        <f>SUMIFS('2022'!C:C,'2022'!A:A,'BNoEVC-calcs'!A6)</f>
        <v>848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848</v>
      </c>
      <c r="C9">
        <f>B9</f>
        <v>848</v>
      </c>
      <c r="D9">
        <f t="shared" ref="D9:AE9" si="1">C9*D3</f>
        <v>1548.1593891840196</v>
      </c>
      <c r="E9">
        <f t="shared" si="1"/>
        <v>2243.4474107885812</v>
      </c>
      <c r="F9">
        <f t="shared" si="1"/>
        <v>2947.0167572782207</v>
      </c>
      <c r="G9">
        <f t="shared" si="1"/>
        <v>3659.8417021689211</v>
      </c>
      <c r="H9">
        <f t="shared" si="1"/>
        <v>3982.730341051345</v>
      </c>
      <c r="I9">
        <f t="shared" si="1"/>
        <v>4316.8231253665208</v>
      </c>
      <c r="J9">
        <f t="shared" si="1"/>
        <v>4662.6071918724865</v>
      </c>
      <c r="K9">
        <f t="shared" si="1"/>
        <v>5021.05681408495</v>
      </c>
      <c r="L9">
        <f t="shared" si="1"/>
        <v>5392.6591287619485</v>
      </c>
      <c r="M9">
        <f t="shared" si="1"/>
        <v>5625.9146041823551</v>
      </c>
      <c r="N9">
        <f t="shared" si="1"/>
        <v>5859.1700796028545</v>
      </c>
      <c r="O9">
        <f t="shared" si="1"/>
        <v>6092.425555023261</v>
      </c>
      <c r="P9">
        <f t="shared" si="1"/>
        <v>6325.6810304436676</v>
      </c>
      <c r="Q9">
        <f t="shared" si="1"/>
        <v>6558.9365058641661</v>
      </c>
      <c r="R9">
        <f t="shared" si="1"/>
        <v>6792.1919812845736</v>
      </c>
      <c r="S9">
        <f t="shared" si="1"/>
        <v>7025.4474567049801</v>
      </c>
      <c r="T9">
        <f t="shared" si="1"/>
        <v>7258.7029321253867</v>
      </c>
      <c r="U9">
        <f t="shared" si="1"/>
        <v>7491.9584075458852</v>
      </c>
      <c r="V9">
        <f t="shared" si="1"/>
        <v>7725.2138829662927</v>
      </c>
      <c r="W9">
        <f t="shared" si="1"/>
        <v>7958.4693583866992</v>
      </c>
      <c r="X9">
        <f t="shared" si="1"/>
        <v>8191.7248338071986</v>
      </c>
      <c r="Y9">
        <f t="shared" si="1"/>
        <v>8424.980309227607</v>
      </c>
      <c r="Z9">
        <f t="shared" si="1"/>
        <v>8658.2357846480136</v>
      </c>
      <c r="AA9">
        <f t="shared" si="1"/>
        <v>8891.491260068422</v>
      </c>
      <c r="AB9">
        <f t="shared" si="1"/>
        <v>9124.7467354889195</v>
      </c>
      <c r="AC9">
        <f t="shared" si="1"/>
        <v>9358.0022109093261</v>
      </c>
      <c r="AD9">
        <f t="shared" si="1"/>
        <v>9591.2576863297327</v>
      </c>
      <c r="AE9">
        <f t="shared" si="1"/>
        <v>9824.513161750232</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4.75"/>
  <cols>
    <col min="1" max="1" width="21" customWidth="1"/>
    <col min="2" max="2" width="11.5429687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848</v>
      </c>
      <c r="C2" s="54">
        <f>'BNoEVC-calcs'!C9</f>
        <v>848</v>
      </c>
      <c r="D2" s="54">
        <f>'BNoEVC-calcs'!D9</f>
        <v>1548.1593891840196</v>
      </c>
      <c r="E2" s="54">
        <f>'BNoEVC-calcs'!E9</f>
        <v>2243.4474107885812</v>
      </c>
      <c r="F2" s="54">
        <f>'BNoEVC-calcs'!F9</f>
        <v>2947.0167572782207</v>
      </c>
      <c r="G2" s="54">
        <f>'BNoEVC-calcs'!G9</f>
        <v>3659.8417021689211</v>
      </c>
      <c r="H2" s="54">
        <f>'BNoEVC-calcs'!H9</f>
        <v>3982.730341051345</v>
      </c>
      <c r="I2" s="54">
        <f>'BNoEVC-calcs'!I9</f>
        <v>4316.8231253665208</v>
      </c>
      <c r="J2" s="54">
        <f>'BNoEVC-calcs'!J9</f>
        <v>4662.6071918724865</v>
      </c>
      <c r="K2" s="54">
        <f>'BNoEVC-calcs'!K9</f>
        <v>5021.05681408495</v>
      </c>
      <c r="L2" s="54">
        <f>'BNoEVC-calcs'!L9</f>
        <v>5392.6591287619485</v>
      </c>
      <c r="M2" s="54">
        <f>'BNoEVC-calcs'!M9</f>
        <v>5625.9146041823551</v>
      </c>
      <c r="N2" s="54">
        <f>'BNoEVC-calcs'!N9</f>
        <v>5859.1700796028545</v>
      </c>
      <c r="O2" s="54">
        <f>'BNoEVC-calcs'!O9</f>
        <v>6092.425555023261</v>
      </c>
      <c r="P2" s="54">
        <f>'BNoEVC-calcs'!P9</f>
        <v>6325.6810304436676</v>
      </c>
      <c r="Q2" s="54">
        <f>'BNoEVC-calcs'!Q9</f>
        <v>6558.9365058641661</v>
      </c>
      <c r="R2" s="54">
        <f>'BNoEVC-calcs'!R9</f>
        <v>6792.1919812845736</v>
      </c>
      <c r="S2" s="54">
        <f>'BNoEVC-calcs'!S9</f>
        <v>7025.4474567049801</v>
      </c>
      <c r="T2" s="54">
        <f>'BNoEVC-calcs'!T9</f>
        <v>7258.7029321253867</v>
      </c>
      <c r="U2" s="54">
        <f>'BNoEVC-calcs'!U9</f>
        <v>7491.9584075458852</v>
      </c>
      <c r="V2" s="54">
        <f>'BNoEVC-calcs'!V9</f>
        <v>7725.2138829662927</v>
      </c>
      <c r="W2" s="54">
        <f>'BNoEVC-calcs'!W9</f>
        <v>7958.4693583866992</v>
      </c>
      <c r="X2" s="54">
        <f>'BNoEVC-calcs'!X9</f>
        <v>8191.7248338071986</v>
      </c>
      <c r="Y2" s="54">
        <f>'BNoEVC-calcs'!Y9</f>
        <v>8424.980309227607</v>
      </c>
      <c r="Z2" s="54">
        <f>'BNoEVC-calcs'!Z9</f>
        <v>8658.2357846480136</v>
      </c>
      <c r="AA2" s="54">
        <f>'BNoEVC-calcs'!AA9</f>
        <v>8891.491260068422</v>
      </c>
      <c r="AB2" s="54">
        <f>'BNoEVC-calcs'!AB9</f>
        <v>9124.7467354889195</v>
      </c>
      <c r="AC2" s="54">
        <f>'BNoEVC-calcs'!AC9</f>
        <v>9358.0022109093261</v>
      </c>
      <c r="AD2" s="54">
        <f>'BNoEVC-calcs'!AD9</f>
        <v>9591.2576863297327</v>
      </c>
      <c r="AE2" s="54">
        <f>'BNoEVC-calcs'!AE9</f>
        <v>9824.513161750232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2023-09-28T00:03:17Z</dcterms:modified>
</cp:coreProperties>
</file>