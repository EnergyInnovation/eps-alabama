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AL\trans\BCDTRtSY\"/>
    </mc:Choice>
  </mc:AlternateContent>
  <xr:revisionPtr revIDLastSave="0" documentId="8_{64087C1F-D6C6-4AC7-A081-6CFBAE82C235}"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<sst xmlns="http://schemas.openxmlformats.org/spreadsheetml/2006/main" count="6428" uniqueCount="3038">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</sst>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2885</v>
      </c>
      <c r="C1" s="77">
        <v>46248</v>
      </c>
      <c r="H1" t="s">
        <v>2981</v>
      </c>
      <c r="I1" t="s">
        <v>2982</v>
      </c>
    </row>
    <row r="2" spans="1:9">
      <c r="B2" t="str">
        <f>VLOOKUP(B1,H2:I52,2)</f>
        <v>AL</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Alabama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1.0033873507764843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1.00818404492069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1.0099078053870532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1.0112270807993613</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1.0118160814603745</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1.013101644568082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1.0145506544783567</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1.0146290639395008</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1.0153007629936031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1.0151445466364817</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1.0156771877189201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1.0166368804027002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1.0176537154879712</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1.0180848604587076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1.0187155884849273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1.0182130429429319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1.0175923845419577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1.0166456053257016</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1.0159216963257849</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1.0149868698102509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1.013795924684687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1.0118482719017052</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1.0100284966270454</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1.0079902041437943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1.0063392355062653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1.0151639874791931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1.024488561410609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1.0303325959275016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1.0349517539967465</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1.0381653748951316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1.0410621758100853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1.0435452725996197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1.0465039268004754</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1.0490043463109753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1.0518230639717796</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1.0538801512326645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1.0560670553764151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1.0577691544002445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1.0594533846614567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1.0610894422398822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1.0616601270481481</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1.0621857535198964</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1.0623898704530201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1.0624799258130484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1.062463526238528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1.0620783074040863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1.0615871342024941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1.0607352664877561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1.0597188832283211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1.0586386174135802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1.0285452515548585</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1.044430194189256</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1.0495460587513676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1.0594179966324968</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1.0733320664743335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1.0876101954495858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1.1061709050570088</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1.1265626975393306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1.149234143064835</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1.1743709547184542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1.1926678749609576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1.2110132333958108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1.2290915914915064</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1.2461801276449262</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1.263685779849826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1.2794341064611787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1.2962057160525959</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1.3142316999679631</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1.332139705241286</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1.3501377678771578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1.3671153742408242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1.3821574578292759</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1.3973432998266204</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1.4114735926877608</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1.4260479365992882</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1.060817907446735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1.1050426285946577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1.1376197806518613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1.1652820942353708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1.1882522667773592</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1.2083785065409272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1.2263146053754919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1.2450696828241326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1.258839907893903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1.2725591006755528</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1.282621113152252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1.2935206776653894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1.303139343419818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1.3101118379987535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1.317426294692112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1.3228563679906293</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1.3283020941643353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1.3322289641032015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1.3369381462036942</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1.3422742570788213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1.3460233626998979</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1.3504662398357801</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1.3526734944490173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1.3544791926675221</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1.3559889376574985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0.99921888977786877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0.99140460198900571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0.97772561030689875</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0.96653662201780199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0.95766903997215391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0.9495651339284894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0.94377608023433124</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0.93917554727765007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0.93580272607042714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0.93370845749142817</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0.92872017277080499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0.92378262680027778</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0.91869903463250069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0.91356084030157492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0.90852684707358233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0.90250753949011564</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0.89691588557932866</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0.89162525749113775</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0.88634988662654024</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0.88105815780257135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0.87533046905946288</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0.86899526159778706</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0.86254258686151841</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0.85574862568002108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0.84923375165818671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1.0031523548209156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1.0084792149435442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1.0108727719514907</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1.0130568813723251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1.0142206433588365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1.0167349503390068</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1.0192998241657572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1.020356658611308</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1.0217680287854083</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1.0222907480946617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1.023607845560131</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1.0253698466845187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1.027106154501455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1.0281371903940462</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1.029396872373191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1.02979626445566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1.029937071317242</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1.0298533032395536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1.0301006487534985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1.0302216834483833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1.0298941347670409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1.0288574408118603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1.0277753558107441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1.0265468745022608</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1.0257113957108068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0.99337670858006544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0.99222757349795454</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0.99072387689918973</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0.99039244083564126</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0.9947961385948676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0.99903546999370052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1.005061129727568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1.0098158122102712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1.0164934793534401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1.0238838848651439</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1.0316237453347117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1.0406291139223449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1.0508709753639776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1.0614913899895395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1.0726374029041261</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1.0824895080048154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1.0917393435018885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1.0984507951139988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1.1049017456095784</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1.1127095302845349</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1.1209886400998272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1.1299538461141616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1.1376604511681467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1.1461472119569869</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1.1538898283477275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1.0079810281646642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1.0201444380358615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1.0313954958863347</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1.040026543721329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1.050968820147596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1.0587851119799214</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1.0675096538844993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1.0740720911130193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1.0818834106267181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1.0895657395107072</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1.0964591027835244</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1.1026658057889769</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1.1078748963219029</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1.1125239842212338</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1.1173542457865417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1.1215930434122603</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1.1253063291527332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1.1280113173646986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1.1310309650487231</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1.1359113002305949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1.1410013021891583</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1.1459978221875762</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1.1488874382787206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1.1517023578967871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1.1539587698722467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1.0240070032535007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1.0401710416729033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1.0498471704250758</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1.0631432354000205</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1.0793253780718652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1.0964018779297746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1.1165446561539289</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1.1381268327027958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1.1614509733264466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1.1866306452310447</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1.2073629170966791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1.2282745988321548</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1.2491439075306396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1.2694635204909508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1.2902114204137585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1.3097274838235453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1.3300578792481721</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1.3513691257886111</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1.3727188861760311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1.3942479857173347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1.4151883809954675</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1.4348927944999825</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1.4548184748620319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1.4741265736500109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1.4938874333953533</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0.97458393242657626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1.0032392686609479</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0.97997390684084029</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0.96958795473476556</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0.9733954536222541</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0.94704532043518841</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0.94963776076916195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0.95237615451468927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0.94830953212666258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0.95004850025864951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0.95094724068374925</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0.9531990732283252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0.95224688232451937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0.9528340241877914</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0.95245601545643555</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0.94999205357207017</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0.94546961277132202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0.94158209491616374</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0.94011082640783716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0.93806715695716125</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0.93847283892802857</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0.94244232339962553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0.94387139961541588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0.93963737588525809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0.93606012143063533</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0.98941438725812358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1.0057420828519321</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1.0239935900474646</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1.038818851581703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1.0544802424305866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1.0699580570818885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1.087422527338584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1.1051386744994134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1.123525318627246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1.1428649327087135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1.1582181170800048</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1.1702524880311214</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1.1822524182274672</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1.1930670480365733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1.2039390881498389</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1.2140394365326224</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1.225154063777067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1.2358262476896447</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1.2463234108548582</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1.2581114455015612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1.2700197073809969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1.2820820506381407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1.2933629302112555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1.3043138907937082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1.3166317167851846</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1.0033873507764843</v>
      </c>
      <c r="E2">
        <f>'BCDTRtSY-state-adjusted'!E5</f>
        <v>1.00818404492069</v>
      </c>
      <c r="F2">
        <f>'BCDTRtSY-state-adjusted'!F5</f>
        <v>1.0099078053870532</v>
      </c>
      <c r="G2">
        <f>'BCDTRtSY-state-adjusted'!G5</f>
        <v>1.0112270807993613</v>
      </c>
      <c r="H2">
        <f>'BCDTRtSY-state-adjusted'!H5</f>
        <v>1.0118160814603745</v>
      </c>
      <c r="I2">
        <f>'BCDTRtSY-state-adjusted'!I5</f>
        <v>1.013101644568082</v>
      </c>
      <c r="J2">
        <f>'BCDTRtSY-state-adjusted'!J5</f>
        <v>1.0145506544783567</v>
      </c>
      <c r="K2">
        <f>'BCDTRtSY-state-adjusted'!K5</f>
        <v>1.0146290639395008</v>
      </c>
      <c r="L2">
        <f>'BCDTRtSY-state-adjusted'!L5</f>
        <v>1.0153007629936031</v>
      </c>
      <c r="M2">
        <f>'BCDTRtSY-state-adjusted'!M5</f>
        <v>1.0151445466364817</v>
      </c>
      <c r="N2">
        <f>'BCDTRtSY-state-adjusted'!N5</f>
        <v>1.0156771877189201</v>
      </c>
      <c r="O2">
        <f>'BCDTRtSY-state-adjusted'!O5</f>
        <v>1.0166368804027002</v>
      </c>
      <c r="P2">
        <f>'BCDTRtSY-state-adjusted'!P5</f>
        <v>1.0176537154879712</v>
      </c>
      <c r="Q2">
        <f>'BCDTRtSY-state-adjusted'!Q5</f>
        <v>1.0180848604587076</v>
      </c>
      <c r="R2">
        <f>'BCDTRtSY-state-adjusted'!R5</f>
        <v>1.0187155884849273</v>
      </c>
      <c r="S2">
        <f>'BCDTRtSY-state-adjusted'!S5</f>
        <v>1.0182130429429319</v>
      </c>
      <c r="T2">
        <f>'BCDTRtSY-state-adjusted'!T5</f>
        <v>1.0175923845419577</v>
      </c>
      <c r="U2">
        <f>'BCDTRtSY-state-adjusted'!U5</f>
        <v>1.0166456053257016</v>
      </c>
      <c r="V2">
        <f>'BCDTRtSY-state-adjusted'!V5</f>
        <v>1.0159216963257849</v>
      </c>
      <c r="W2">
        <f>'BCDTRtSY-state-adjusted'!W5</f>
        <v>1.0149868698102509</v>
      </c>
      <c r="X2">
        <f>'BCDTRtSY-state-adjusted'!X5</f>
        <v>1.013795924684687</v>
      </c>
      <c r="Y2">
        <f>'BCDTRtSY-state-adjusted'!Y5</f>
        <v>1.0118482719017052</v>
      </c>
      <c r="Z2">
        <f>'BCDTRtSY-state-adjusted'!Z5</f>
        <v>1.0100284966270454</v>
      </c>
      <c r="AA2">
        <f>'BCDTRtSY-state-adjusted'!AA5</f>
        <v>1.0079902041437943</v>
      </c>
      <c r="AB2">
        <f>'BCDTRtSY-state-adjusted'!AB5</f>
        <v>1.0063392355062653</v>
      </c>
    </row>
    <row r="3" spans="1:28">
      <c r="A3" t="s">
        <v>118</v>
      </c>
      <c r="B3">
        <f>'BCDTRtSY-state-adjusted'!B6</f>
        <v>1</v>
      </c>
      <c r="C3">
        <f>'BCDTRtSY-state-adjusted'!C6</f>
        <v>1</v>
      </c>
      <c r="D3">
        <f>'BCDTRtSY-state-adjusted'!D6</f>
        <v>1.0151639874791931</v>
      </c>
      <c r="E3">
        <f>'BCDTRtSY-state-adjusted'!E6</f>
        <v>1.024488561410609</v>
      </c>
      <c r="F3">
        <f>'BCDTRtSY-state-adjusted'!F6</f>
        <v>1.0303325959275016</v>
      </c>
      <c r="G3">
        <f>'BCDTRtSY-state-adjusted'!G6</f>
        <v>1.0349517539967465</v>
      </c>
      <c r="H3">
        <f>'BCDTRtSY-state-adjusted'!H6</f>
        <v>1.0381653748951316</v>
      </c>
      <c r="I3">
        <f>'BCDTRtSY-state-adjusted'!I6</f>
        <v>1.0410621758100853</v>
      </c>
      <c r="J3">
        <f>'BCDTRtSY-state-adjusted'!J6</f>
        <v>1.0435452725996197</v>
      </c>
      <c r="K3">
        <f>'BCDTRtSY-state-adjusted'!K6</f>
        <v>1.0465039268004754</v>
      </c>
      <c r="L3">
        <f>'BCDTRtSY-state-adjusted'!L6</f>
        <v>1.0490043463109753</v>
      </c>
      <c r="M3">
        <f>'BCDTRtSY-state-adjusted'!M6</f>
        <v>1.0518230639717796</v>
      </c>
      <c r="N3">
        <f>'BCDTRtSY-state-adjusted'!N6</f>
        <v>1.0538801512326645</v>
      </c>
      <c r="O3">
        <f>'BCDTRtSY-state-adjusted'!O6</f>
        <v>1.0560670553764151</v>
      </c>
      <c r="P3">
        <f>'BCDTRtSY-state-adjusted'!P6</f>
        <v>1.0577691544002445</v>
      </c>
      <c r="Q3">
        <f>'BCDTRtSY-state-adjusted'!Q6</f>
        <v>1.0594533846614567</v>
      </c>
      <c r="R3">
        <f>'BCDTRtSY-state-adjusted'!R6</f>
        <v>1.0610894422398822</v>
      </c>
      <c r="S3">
        <f>'BCDTRtSY-state-adjusted'!S6</f>
        <v>1.0616601270481481</v>
      </c>
      <c r="T3">
        <f>'BCDTRtSY-state-adjusted'!T6</f>
        <v>1.0621857535198964</v>
      </c>
      <c r="U3">
        <f>'BCDTRtSY-state-adjusted'!U6</f>
        <v>1.0623898704530201</v>
      </c>
      <c r="V3">
        <f>'BCDTRtSY-state-adjusted'!V6</f>
        <v>1.0624799258130484</v>
      </c>
      <c r="W3">
        <f>'BCDTRtSY-state-adjusted'!W6</f>
        <v>1.062463526238528</v>
      </c>
      <c r="X3">
        <f>'BCDTRtSY-state-adjusted'!X6</f>
        <v>1.0620783074040863</v>
      </c>
      <c r="Y3">
        <f>'BCDTRtSY-state-adjusted'!Y6</f>
        <v>1.0615871342024941</v>
      </c>
      <c r="Z3">
        <f>'BCDTRtSY-state-adjusted'!Z6</f>
        <v>1.0607352664877561</v>
      </c>
      <c r="AA3">
        <f>'BCDTRtSY-state-adjusted'!AA6</f>
        <v>1.0597188832283211</v>
      </c>
      <c r="AB3">
        <f>'BCDTRtSY-state-adjusted'!AB6</f>
        <v>1.0586386174135802</v>
      </c>
    </row>
    <row r="4" spans="1:28">
      <c r="A4" t="s">
        <v>116</v>
      </c>
      <c r="B4">
        <f>'BCDTRtSY-state-adjusted'!B7</f>
        <v>1</v>
      </c>
      <c r="C4">
        <f>'BCDTRtSY-state-adjusted'!C7</f>
        <v>1</v>
      </c>
      <c r="D4">
        <f>'BCDTRtSY-state-adjusted'!D7</f>
        <v>1.0285452515548585</v>
      </c>
      <c r="E4">
        <f>'BCDTRtSY-state-adjusted'!E7</f>
        <v>1.044430194189256</v>
      </c>
      <c r="F4">
        <f>'BCDTRtSY-state-adjusted'!F7</f>
        <v>1.0495460587513676</v>
      </c>
      <c r="G4">
        <f>'BCDTRtSY-state-adjusted'!G7</f>
        <v>1.0594179966324968</v>
      </c>
      <c r="H4">
        <f>'BCDTRtSY-state-adjusted'!H7</f>
        <v>1.0733320664743335</v>
      </c>
      <c r="I4">
        <f>'BCDTRtSY-state-adjusted'!I7</f>
        <v>1.0876101954495858</v>
      </c>
      <c r="J4">
        <f>'BCDTRtSY-state-adjusted'!J7</f>
        <v>1.1061709050570088</v>
      </c>
      <c r="K4">
        <f>'BCDTRtSY-state-adjusted'!K7</f>
        <v>1.1265626975393306</v>
      </c>
      <c r="L4">
        <f>'BCDTRtSY-state-adjusted'!L7</f>
        <v>1.149234143064835</v>
      </c>
      <c r="M4">
        <f>'BCDTRtSY-state-adjusted'!M7</f>
        <v>1.1743709547184542</v>
      </c>
      <c r="N4">
        <f>'BCDTRtSY-state-adjusted'!N7</f>
        <v>1.1926678749609576</v>
      </c>
      <c r="O4">
        <f>'BCDTRtSY-state-adjusted'!O7</f>
        <v>1.2110132333958108</v>
      </c>
      <c r="P4">
        <f>'BCDTRtSY-state-adjusted'!P7</f>
        <v>1.2290915914915064</v>
      </c>
      <c r="Q4">
        <f>'BCDTRtSY-state-adjusted'!Q7</f>
        <v>1.2461801276449262</v>
      </c>
      <c r="R4">
        <f>'BCDTRtSY-state-adjusted'!R7</f>
        <v>1.263685779849826</v>
      </c>
      <c r="S4">
        <f>'BCDTRtSY-state-adjusted'!S7</f>
        <v>1.2794341064611787</v>
      </c>
      <c r="T4">
        <f>'BCDTRtSY-state-adjusted'!T7</f>
        <v>1.2962057160525959</v>
      </c>
      <c r="U4">
        <f>'BCDTRtSY-state-adjusted'!U7</f>
        <v>1.3142316999679631</v>
      </c>
      <c r="V4">
        <f>'BCDTRtSY-state-adjusted'!V7</f>
        <v>1.332139705241286</v>
      </c>
      <c r="W4">
        <f>'BCDTRtSY-state-adjusted'!W7</f>
        <v>1.3501377678771578</v>
      </c>
      <c r="X4">
        <f>'BCDTRtSY-state-adjusted'!X7</f>
        <v>1.3671153742408242</v>
      </c>
      <c r="Y4">
        <f>'BCDTRtSY-state-adjusted'!Y7</f>
        <v>1.3821574578292759</v>
      </c>
      <c r="Z4">
        <f>'BCDTRtSY-state-adjusted'!Z7</f>
        <v>1.3973432998266204</v>
      </c>
      <c r="AA4">
        <f>'BCDTRtSY-state-adjusted'!AA7</f>
        <v>1.4114735926877608</v>
      </c>
      <c r="AB4">
        <f>'BCDTRtSY-state-adjusted'!AB7</f>
        <v>1.4260479365992882</v>
      </c>
    </row>
    <row r="5" spans="1:28">
      <c r="A5" t="s">
        <v>121</v>
      </c>
      <c r="B5">
        <f>'BCDTRtSY-state-adjusted'!B8</f>
        <v>1</v>
      </c>
      <c r="C5">
        <f>'BCDTRtSY-state-adjusted'!C8</f>
        <v>1</v>
      </c>
      <c r="D5">
        <f>'BCDTRtSY-state-adjusted'!D8</f>
        <v>1.060817907446735</v>
      </c>
      <c r="E5">
        <f>'BCDTRtSY-state-adjusted'!E8</f>
        <v>1.1050426285946577</v>
      </c>
      <c r="F5">
        <f>'BCDTRtSY-state-adjusted'!F8</f>
        <v>1.1376197806518613</v>
      </c>
      <c r="G5">
        <f>'BCDTRtSY-state-adjusted'!G8</f>
        <v>1.1652820942353708</v>
      </c>
      <c r="H5">
        <f>'BCDTRtSY-state-adjusted'!H8</f>
        <v>1.1882522667773592</v>
      </c>
      <c r="I5">
        <f>'BCDTRtSY-state-adjusted'!I8</f>
        <v>1.2083785065409272</v>
      </c>
      <c r="J5">
        <f>'BCDTRtSY-state-adjusted'!J8</f>
        <v>1.2263146053754919</v>
      </c>
      <c r="K5">
        <f>'BCDTRtSY-state-adjusted'!K8</f>
        <v>1.2450696828241326</v>
      </c>
      <c r="L5">
        <f>'BCDTRtSY-state-adjusted'!L8</f>
        <v>1.258839907893903</v>
      </c>
      <c r="M5">
        <f>'BCDTRtSY-state-adjusted'!M8</f>
        <v>1.2725591006755528</v>
      </c>
      <c r="N5">
        <f>'BCDTRtSY-state-adjusted'!N8</f>
        <v>1.282621113152252</v>
      </c>
      <c r="O5">
        <f>'BCDTRtSY-state-adjusted'!O8</f>
        <v>1.2935206776653894</v>
      </c>
      <c r="P5">
        <f>'BCDTRtSY-state-adjusted'!P8</f>
        <v>1.303139343419818</v>
      </c>
      <c r="Q5">
        <f>'BCDTRtSY-state-adjusted'!Q8</f>
        <v>1.3101118379987535</v>
      </c>
      <c r="R5">
        <f>'BCDTRtSY-state-adjusted'!R8</f>
        <v>1.317426294692112</v>
      </c>
      <c r="S5">
        <f>'BCDTRtSY-state-adjusted'!S8</f>
        <v>1.3228563679906293</v>
      </c>
      <c r="T5">
        <f>'BCDTRtSY-state-adjusted'!T8</f>
        <v>1.3283020941643353</v>
      </c>
      <c r="U5">
        <f>'BCDTRtSY-state-adjusted'!U8</f>
        <v>1.3322289641032015</v>
      </c>
      <c r="V5">
        <f>'BCDTRtSY-state-adjusted'!V8</f>
        <v>1.3369381462036942</v>
      </c>
      <c r="W5">
        <f>'BCDTRtSY-state-adjusted'!W8</f>
        <v>1.3422742570788213</v>
      </c>
      <c r="X5">
        <f>'BCDTRtSY-state-adjusted'!X8</f>
        <v>1.3460233626998979</v>
      </c>
      <c r="Y5">
        <f>'BCDTRtSY-state-adjusted'!Y8</f>
        <v>1.3504662398357801</v>
      </c>
      <c r="Z5">
        <f>'BCDTRtSY-state-adjusted'!Z8</f>
        <v>1.3526734944490173</v>
      </c>
      <c r="AA5">
        <f>'BCDTRtSY-state-adjusted'!AA8</f>
        <v>1.3544791926675221</v>
      </c>
      <c r="AB5">
        <f>'BCDTRtSY-state-adjusted'!AB8</f>
        <v>1.3559889376574985</v>
      </c>
    </row>
    <row r="6" spans="1:28">
      <c r="A6" t="s">
        <v>122</v>
      </c>
      <c r="B6">
        <f>'BCDTRtSY-state-adjusted'!B9</f>
        <v>1</v>
      </c>
      <c r="C6">
        <f>'BCDTRtSY-state-adjusted'!C9</f>
        <v>1</v>
      </c>
      <c r="D6">
        <f>'BCDTRtSY-state-adjusted'!D9</f>
        <v>0.99921888977786877</v>
      </c>
      <c r="E6">
        <f>'BCDTRtSY-state-adjusted'!E9</f>
        <v>0.99140460198900571</v>
      </c>
      <c r="F6">
        <f>'BCDTRtSY-state-adjusted'!F9</f>
        <v>0.97772561030689875</v>
      </c>
      <c r="G6">
        <f>'BCDTRtSY-state-adjusted'!G9</f>
        <v>0.96653662201780199</v>
      </c>
      <c r="H6">
        <f>'BCDTRtSY-state-adjusted'!H9</f>
        <v>0.95766903997215391</v>
      </c>
      <c r="I6">
        <f>'BCDTRtSY-state-adjusted'!I9</f>
        <v>0.9495651339284894</v>
      </c>
      <c r="J6">
        <f>'BCDTRtSY-state-adjusted'!J9</f>
        <v>0.94377608023433124</v>
      </c>
      <c r="K6">
        <f>'BCDTRtSY-state-adjusted'!K9</f>
        <v>0.93917554727765007</v>
      </c>
      <c r="L6">
        <f>'BCDTRtSY-state-adjusted'!L9</f>
        <v>0.93580272607042714</v>
      </c>
      <c r="M6">
        <f>'BCDTRtSY-state-adjusted'!M9</f>
        <v>0.93370845749142817</v>
      </c>
      <c r="N6">
        <f>'BCDTRtSY-state-adjusted'!N9</f>
        <v>0.92872017277080499</v>
      </c>
      <c r="O6">
        <f>'BCDTRtSY-state-adjusted'!O9</f>
        <v>0.92378262680027778</v>
      </c>
      <c r="P6">
        <f>'BCDTRtSY-state-adjusted'!P9</f>
        <v>0.91869903463250069</v>
      </c>
      <c r="Q6">
        <f>'BCDTRtSY-state-adjusted'!Q9</f>
        <v>0.91356084030157492</v>
      </c>
      <c r="R6">
        <f>'BCDTRtSY-state-adjusted'!R9</f>
        <v>0.90852684707358233</v>
      </c>
      <c r="S6">
        <f>'BCDTRtSY-state-adjusted'!S9</f>
        <v>0.90250753949011564</v>
      </c>
      <c r="T6">
        <f>'BCDTRtSY-state-adjusted'!T9</f>
        <v>0.89691588557932866</v>
      </c>
      <c r="U6">
        <f>'BCDTRtSY-state-adjusted'!U9</f>
        <v>0.89162525749113775</v>
      </c>
      <c r="V6">
        <f>'BCDTRtSY-state-adjusted'!V9</f>
        <v>0.88634988662654024</v>
      </c>
      <c r="W6">
        <f>'BCDTRtSY-state-adjusted'!W9</f>
        <v>0.88105815780257135</v>
      </c>
      <c r="X6">
        <f>'BCDTRtSY-state-adjusted'!X9</f>
        <v>0.87533046905946288</v>
      </c>
      <c r="Y6">
        <f>'BCDTRtSY-state-adjusted'!Y9</f>
        <v>0.86899526159778706</v>
      </c>
      <c r="Z6">
        <f>'BCDTRtSY-state-adjusted'!Z9</f>
        <v>0.86254258686151841</v>
      </c>
      <c r="AA6">
        <f>'BCDTRtSY-state-adjusted'!AA9</f>
        <v>0.85574862568002108</v>
      </c>
      <c r="AB6">
        <f>'BCDTRtSY-state-adjusted'!AB9</f>
        <v>0.84923375165818671</v>
      </c>
    </row>
    <row r="7" spans="1:28">
      <c r="A7" t="s">
        <v>123</v>
      </c>
      <c r="B7">
        <f>'BCDTRtSY-state-adjusted'!B10</f>
        <v>1</v>
      </c>
      <c r="C7">
        <f>'BCDTRtSY-state-adjusted'!C10</f>
        <v>1</v>
      </c>
      <c r="D7">
        <f>'BCDTRtSY-state-adjusted'!D10</f>
        <v>1.0031523548209156</v>
      </c>
      <c r="E7">
        <f>'BCDTRtSY-state-adjusted'!E10</f>
        <v>1.0084792149435442</v>
      </c>
      <c r="F7">
        <f>'BCDTRtSY-state-adjusted'!F10</f>
        <v>1.0108727719514907</v>
      </c>
      <c r="G7">
        <f>'BCDTRtSY-state-adjusted'!G10</f>
        <v>1.0130568813723251</v>
      </c>
      <c r="H7">
        <f>'BCDTRtSY-state-adjusted'!H10</f>
        <v>1.0142206433588365</v>
      </c>
      <c r="I7">
        <f>'BCDTRtSY-state-adjusted'!I10</f>
        <v>1.0167349503390068</v>
      </c>
      <c r="J7">
        <f>'BCDTRtSY-state-adjusted'!J10</f>
        <v>1.0192998241657572</v>
      </c>
      <c r="K7">
        <f>'BCDTRtSY-state-adjusted'!K10</f>
        <v>1.020356658611308</v>
      </c>
      <c r="L7">
        <f>'BCDTRtSY-state-adjusted'!L10</f>
        <v>1.0217680287854083</v>
      </c>
      <c r="M7">
        <f>'BCDTRtSY-state-adjusted'!M10</f>
        <v>1.0222907480946617</v>
      </c>
      <c r="N7">
        <f>'BCDTRtSY-state-adjusted'!N10</f>
        <v>1.023607845560131</v>
      </c>
      <c r="O7">
        <f>'BCDTRtSY-state-adjusted'!O10</f>
        <v>1.0253698466845187</v>
      </c>
      <c r="P7">
        <f>'BCDTRtSY-state-adjusted'!P10</f>
        <v>1.027106154501455</v>
      </c>
      <c r="Q7">
        <f>'BCDTRtSY-state-adjusted'!Q10</f>
        <v>1.0281371903940462</v>
      </c>
      <c r="R7">
        <f>'BCDTRtSY-state-adjusted'!R10</f>
        <v>1.029396872373191</v>
      </c>
      <c r="S7">
        <f>'BCDTRtSY-state-adjusted'!S10</f>
        <v>1.02979626445566</v>
      </c>
      <c r="T7">
        <f>'BCDTRtSY-state-adjusted'!T10</f>
        <v>1.029937071317242</v>
      </c>
      <c r="U7">
        <f>'BCDTRtSY-state-adjusted'!U10</f>
        <v>1.0298533032395536</v>
      </c>
      <c r="V7">
        <f>'BCDTRtSY-state-adjusted'!V10</f>
        <v>1.0301006487534985</v>
      </c>
      <c r="W7">
        <f>'BCDTRtSY-state-adjusted'!W10</f>
        <v>1.0302216834483833</v>
      </c>
      <c r="X7">
        <f>'BCDTRtSY-state-adjusted'!X10</f>
        <v>1.0298941347670409</v>
      </c>
      <c r="Y7">
        <f>'BCDTRtSY-state-adjusted'!Y10</f>
        <v>1.0288574408118603</v>
      </c>
      <c r="Z7">
        <f>'BCDTRtSY-state-adjusted'!Z10</f>
        <v>1.0277753558107441</v>
      </c>
      <c r="AA7">
        <f>'BCDTRtSY-state-adjusted'!AA10</f>
        <v>1.0265468745022608</v>
      </c>
      <c r="AB7">
        <f>'BCDTRtSY-state-adjusted'!AB10</f>
        <v>1.0257113957108068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0.99337670858006544</v>
      </c>
      <c r="E2">
        <f>'BCDTRtSY-state-adjusted'!E13</f>
        <v>0.99222757349795454</v>
      </c>
      <c r="F2">
        <f>'BCDTRtSY-state-adjusted'!F13</f>
        <v>0.99072387689918973</v>
      </c>
      <c r="G2">
        <f>'BCDTRtSY-state-adjusted'!G13</f>
        <v>0.99039244083564126</v>
      </c>
      <c r="H2">
        <f>'BCDTRtSY-state-adjusted'!H13</f>
        <v>0.9947961385948676</v>
      </c>
      <c r="I2">
        <f>'BCDTRtSY-state-adjusted'!I13</f>
        <v>0.99903546999370052</v>
      </c>
      <c r="J2">
        <f>'BCDTRtSY-state-adjusted'!J13</f>
        <v>1.005061129727568</v>
      </c>
      <c r="K2">
        <f>'BCDTRtSY-state-adjusted'!K13</f>
        <v>1.0098158122102712</v>
      </c>
      <c r="L2">
        <f>'BCDTRtSY-state-adjusted'!L13</f>
        <v>1.0164934793534401</v>
      </c>
      <c r="M2">
        <f>'BCDTRtSY-state-adjusted'!M13</f>
        <v>1.0238838848651439</v>
      </c>
      <c r="N2">
        <f>'BCDTRtSY-state-adjusted'!N13</f>
        <v>1.0316237453347117</v>
      </c>
      <c r="O2">
        <f>'BCDTRtSY-state-adjusted'!O13</f>
        <v>1.0406291139223449</v>
      </c>
      <c r="P2">
        <f>'BCDTRtSY-state-adjusted'!P13</f>
        <v>1.0508709753639776</v>
      </c>
      <c r="Q2">
        <f>'BCDTRtSY-state-adjusted'!Q13</f>
        <v>1.0614913899895395</v>
      </c>
      <c r="R2">
        <f>'BCDTRtSY-state-adjusted'!R13</f>
        <v>1.0726374029041261</v>
      </c>
      <c r="S2">
        <f>'BCDTRtSY-state-adjusted'!S13</f>
        <v>1.0824895080048154</v>
      </c>
      <c r="T2">
        <f>'BCDTRtSY-state-adjusted'!T13</f>
        <v>1.0917393435018885</v>
      </c>
      <c r="U2">
        <f>'BCDTRtSY-state-adjusted'!U13</f>
        <v>1.0984507951139988</v>
      </c>
      <c r="V2">
        <f>'BCDTRtSY-state-adjusted'!V13</f>
        <v>1.1049017456095784</v>
      </c>
      <c r="W2">
        <f>'BCDTRtSY-state-adjusted'!W13</f>
        <v>1.1127095302845349</v>
      </c>
      <c r="X2">
        <f>'BCDTRtSY-state-adjusted'!X13</f>
        <v>1.1209886400998272</v>
      </c>
      <c r="Y2">
        <f>'BCDTRtSY-state-adjusted'!Y13</f>
        <v>1.1299538461141616</v>
      </c>
      <c r="Z2">
        <f>'BCDTRtSY-state-adjusted'!Z13</f>
        <v>1.1376604511681467</v>
      </c>
      <c r="AA2">
        <f>'BCDTRtSY-state-adjusted'!AA13</f>
        <v>1.1461472119569869</v>
      </c>
      <c r="AB2">
        <f>'BCDTRtSY-state-adjusted'!AB13</f>
        <v>1.1538898283477275</v>
      </c>
    </row>
    <row r="3" spans="1:28">
      <c r="A3" t="s">
        <v>118</v>
      </c>
      <c r="B3">
        <f>'BCDTRtSY-state-adjusted'!B14</f>
        <v>1</v>
      </c>
      <c r="C3">
        <f>'BCDTRtSY-state-adjusted'!C14</f>
        <v>1</v>
      </c>
      <c r="D3">
        <f>'BCDTRtSY-state-adjusted'!D14</f>
        <v>1.0079810281646642</v>
      </c>
      <c r="E3">
        <f>'BCDTRtSY-state-adjusted'!E14</f>
        <v>1.0201444380358615</v>
      </c>
      <c r="F3">
        <f>'BCDTRtSY-state-adjusted'!F14</f>
        <v>1.0313954958863347</v>
      </c>
      <c r="G3">
        <f>'BCDTRtSY-state-adjusted'!G14</f>
        <v>1.040026543721329</v>
      </c>
      <c r="H3">
        <f>'BCDTRtSY-state-adjusted'!H14</f>
        <v>1.050968820147596</v>
      </c>
      <c r="I3">
        <f>'BCDTRtSY-state-adjusted'!I14</f>
        <v>1.0587851119799214</v>
      </c>
      <c r="J3">
        <f>'BCDTRtSY-state-adjusted'!J14</f>
        <v>1.0675096538844993</v>
      </c>
      <c r="K3">
        <f>'BCDTRtSY-state-adjusted'!K14</f>
        <v>1.0740720911130193</v>
      </c>
      <c r="L3">
        <f>'BCDTRtSY-state-adjusted'!L14</f>
        <v>1.0818834106267181</v>
      </c>
      <c r="M3">
        <f>'BCDTRtSY-state-adjusted'!M14</f>
        <v>1.0895657395107072</v>
      </c>
      <c r="N3">
        <f>'BCDTRtSY-state-adjusted'!N14</f>
        <v>1.0964591027835244</v>
      </c>
      <c r="O3">
        <f>'BCDTRtSY-state-adjusted'!O14</f>
        <v>1.1026658057889769</v>
      </c>
      <c r="P3">
        <f>'BCDTRtSY-state-adjusted'!P14</f>
        <v>1.1078748963219029</v>
      </c>
      <c r="Q3">
        <f>'BCDTRtSY-state-adjusted'!Q14</f>
        <v>1.1125239842212338</v>
      </c>
      <c r="R3">
        <f>'BCDTRtSY-state-adjusted'!R14</f>
        <v>1.1173542457865417</v>
      </c>
      <c r="S3">
        <f>'BCDTRtSY-state-adjusted'!S14</f>
        <v>1.1215930434122603</v>
      </c>
      <c r="T3">
        <f>'BCDTRtSY-state-adjusted'!T14</f>
        <v>1.1253063291527332</v>
      </c>
      <c r="U3">
        <f>'BCDTRtSY-state-adjusted'!U14</f>
        <v>1.1280113173646986</v>
      </c>
      <c r="V3">
        <f>'BCDTRtSY-state-adjusted'!V14</f>
        <v>1.1310309650487231</v>
      </c>
      <c r="W3">
        <f>'BCDTRtSY-state-adjusted'!W14</f>
        <v>1.1359113002305949</v>
      </c>
      <c r="X3">
        <f>'BCDTRtSY-state-adjusted'!X14</f>
        <v>1.1410013021891583</v>
      </c>
      <c r="Y3">
        <f>'BCDTRtSY-state-adjusted'!Y14</f>
        <v>1.1459978221875762</v>
      </c>
      <c r="Z3">
        <f>'BCDTRtSY-state-adjusted'!Z14</f>
        <v>1.1488874382787206</v>
      </c>
      <c r="AA3">
        <f>'BCDTRtSY-state-adjusted'!AA14</f>
        <v>1.1517023578967871</v>
      </c>
      <c r="AB3">
        <f>'BCDTRtSY-state-adjusted'!AB14</f>
        <v>1.1539587698722467</v>
      </c>
    </row>
    <row r="4" spans="1:28">
      <c r="A4" t="s">
        <v>116</v>
      </c>
      <c r="B4">
        <f>'BCDTRtSY-state-adjusted'!B15</f>
        <v>1</v>
      </c>
      <c r="C4">
        <f>'BCDTRtSY-state-adjusted'!C15</f>
        <v>1</v>
      </c>
      <c r="D4">
        <f>'BCDTRtSY-state-adjusted'!D15</f>
        <v>1.0240070032535007</v>
      </c>
      <c r="E4">
        <f>'BCDTRtSY-state-adjusted'!E15</f>
        <v>1.0401710416729033</v>
      </c>
      <c r="F4">
        <f>'BCDTRtSY-state-adjusted'!F15</f>
        <v>1.0498471704250758</v>
      </c>
      <c r="G4">
        <f>'BCDTRtSY-state-adjusted'!G15</f>
        <v>1.0631432354000205</v>
      </c>
      <c r="H4">
        <f>'BCDTRtSY-state-adjusted'!H15</f>
        <v>1.0793253780718652</v>
      </c>
      <c r="I4">
        <f>'BCDTRtSY-state-adjusted'!I15</f>
        <v>1.0964018779297746</v>
      </c>
      <c r="J4">
        <f>'BCDTRtSY-state-adjusted'!J15</f>
        <v>1.1165446561539289</v>
      </c>
      <c r="K4">
        <f>'BCDTRtSY-state-adjusted'!K15</f>
        <v>1.1381268327027958</v>
      </c>
      <c r="L4">
        <f>'BCDTRtSY-state-adjusted'!L15</f>
        <v>1.1614509733264466</v>
      </c>
      <c r="M4">
        <f>'BCDTRtSY-state-adjusted'!M15</f>
        <v>1.1866306452310447</v>
      </c>
      <c r="N4">
        <f>'BCDTRtSY-state-adjusted'!N15</f>
        <v>1.2073629170966791</v>
      </c>
      <c r="O4">
        <f>'BCDTRtSY-state-adjusted'!O15</f>
        <v>1.2282745988321548</v>
      </c>
      <c r="P4">
        <f>'BCDTRtSY-state-adjusted'!P15</f>
        <v>1.2491439075306396</v>
      </c>
      <c r="Q4">
        <f>'BCDTRtSY-state-adjusted'!Q15</f>
        <v>1.2694635204909508</v>
      </c>
      <c r="R4">
        <f>'BCDTRtSY-state-adjusted'!R15</f>
        <v>1.2902114204137585</v>
      </c>
      <c r="S4">
        <f>'BCDTRtSY-state-adjusted'!S15</f>
        <v>1.3097274838235453</v>
      </c>
      <c r="T4">
        <f>'BCDTRtSY-state-adjusted'!T15</f>
        <v>1.3300578792481721</v>
      </c>
      <c r="U4">
        <f>'BCDTRtSY-state-adjusted'!U15</f>
        <v>1.3513691257886111</v>
      </c>
      <c r="V4">
        <f>'BCDTRtSY-state-adjusted'!V15</f>
        <v>1.3727188861760311</v>
      </c>
      <c r="W4">
        <f>'BCDTRtSY-state-adjusted'!W15</f>
        <v>1.3942479857173347</v>
      </c>
      <c r="X4">
        <f>'BCDTRtSY-state-adjusted'!X15</f>
        <v>1.4151883809954675</v>
      </c>
      <c r="Y4">
        <f>'BCDTRtSY-state-adjusted'!Y15</f>
        <v>1.4348927944999825</v>
      </c>
      <c r="Z4">
        <f>'BCDTRtSY-state-adjusted'!Z15</f>
        <v>1.4548184748620319</v>
      </c>
      <c r="AA4">
        <f>'BCDTRtSY-state-adjusted'!AA15</f>
        <v>1.4741265736500109</v>
      </c>
      <c r="AB4">
        <f>'BCDTRtSY-state-adjusted'!AB15</f>
        <v>1.4938874333953533</v>
      </c>
    </row>
    <row r="5" spans="1:28">
      <c r="A5" t="s">
        <v>121</v>
      </c>
      <c r="B5">
        <f>'BCDTRtSY-state-adjusted'!B16</f>
        <v>1</v>
      </c>
      <c r="C5">
        <f>'BCDTRtSY-state-adjusted'!C16</f>
        <v>1</v>
      </c>
      <c r="D5">
        <f>'BCDTRtSY-state-adjusted'!D16</f>
        <v>0.97458393242657626</v>
      </c>
      <c r="E5">
        <f>'BCDTRtSY-state-adjusted'!E16</f>
        <v>1.0032392686609479</v>
      </c>
      <c r="F5">
        <f>'BCDTRtSY-state-adjusted'!F16</f>
        <v>0.97997390684084029</v>
      </c>
      <c r="G5">
        <f>'BCDTRtSY-state-adjusted'!G16</f>
        <v>0.96958795473476556</v>
      </c>
      <c r="H5">
        <f>'BCDTRtSY-state-adjusted'!H16</f>
        <v>0.9733954536222541</v>
      </c>
      <c r="I5">
        <f>'BCDTRtSY-state-adjusted'!I16</f>
        <v>0.94704532043518841</v>
      </c>
      <c r="J5">
        <f>'BCDTRtSY-state-adjusted'!J16</f>
        <v>0.94963776076916195</v>
      </c>
      <c r="K5">
        <f>'BCDTRtSY-state-adjusted'!K16</f>
        <v>0.95237615451468927</v>
      </c>
      <c r="L5">
        <f>'BCDTRtSY-state-adjusted'!L16</f>
        <v>0.94830953212666258</v>
      </c>
      <c r="M5">
        <f>'BCDTRtSY-state-adjusted'!M16</f>
        <v>0.95004850025864951</v>
      </c>
      <c r="N5">
        <f>'BCDTRtSY-state-adjusted'!N16</f>
        <v>0.95094724068374925</v>
      </c>
      <c r="O5">
        <f>'BCDTRtSY-state-adjusted'!O16</f>
        <v>0.9531990732283252</v>
      </c>
      <c r="P5">
        <f>'BCDTRtSY-state-adjusted'!P16</f>
        <v>0.95224688232451937</v>
      </c>
      <c r="Q5">
        <f>'BCDTRtSY-state-adjusted'!Q16</f>
        <v>0.9528340241877914</v>
      </c>
      <c r="R5">
        <f>'BCDTRtSY-state-adjusted'!R16</f>
        <v>0.95245601545643555</v>
      </c>
      <c r="S5">
        <f>'BCDTRtSY-state-adjusted'!S16</f>
        <v>0.94999205357207017</v>
      </c>
      <c r="T5">
        <f>'BCDTRtSY-state-adjusted'!T16</f>
        <v>0.94546961277132202</v>
      </c>
      <c r="U5">
        <f>'BCDTRtSY-state-adjusted'!U16</f>
        <v>0.94158209491616374</v>
      </c>
      <c r="V5">
        <f>'BCDTRtSY-state-adjusted'!V16</f>
        <v>0.94011082640783716</v>
      </c>
      <c r="W5">
        <f>'BCDTRtSY-state-adjusted'!W16</f>
        <v>0.93806715695716125</v>
      </c>
      <c r="X5">
        <f>'BCDTRtSY-state-adjusted'!X16</f>
        <v>0.93847283892802857</v>
      </c>
      <c r="Y5">
        <f>'BCDTRtSY-state-adjusted'!Y16</f>
        <v>0.94244232339962553</v>
      </c>
      <c r="Z5">
        <f>'BCDTRtSY-state-adjusted'!Z16</f>
        <v>0.94387139961541588</v>
      </c>
      <c r="AA5">
        <f>'BCDTRtSY-state-adjusted'!AA16</f>
        <v>0.93963737588525809</v>
      </c>
      <c r="AB5">
        <f>'BCDTRtSY-state-adjusted'!AB16</f>
        <v>0.93606012143063533</v>
      </c>
    </row>
    <row r="6" spans="1:28">
      <c r="A6" t="s">
        <v>122</v>
      </c>
      <c r="B6">
        <f>'BCDTRtSY-state-adjusted'!B17</f>
        <v>1</v>
      </c>
      <c r="C6">
        <f>'BCDTRtSY-state-adjusted'!C17</f>
        <v>1</v>
      </c>
      <c r="D6">
        <f>'BCDTRtSY-state-adjusted'!D17</f>
        <v>0.98941438725812358</v>
      </c>
      <c r="E6">
        <f>'BCDTRtSY-state-adjusted'!E17</f>
        <v>1.0057420828519321</v>
      </c>
      <c r="F6">
        <f>'BCDTRtSY-state-adjusted'!F17</f>
        <v>1.0239935900474646</v>
      </c>
      <c r="G6">
        <f>'BCDTRtSY-state-adjusted'!G17</f>
        <v>1.038818851581703</v>
      </c>
      <c r="H6">
        <f>'BCDTRtSY-state-adjusted'!H17</f>
        <v>1.0544802424305866</v>
      </c>
      <c r="I6">
        <f>'BCDTRtSY-state-adjusted'!I17</f>
        <v>1.0699580570818885</v>
      </c>
      <c r="J6">
        <f>'BCDTRtSY-state-adjusted'!J17</f>
        <v>1.087422527338584</v>
      </c>
      <c r="K6">
        <f>'BCDTRtSY-state-adjusted'!K17</f>
        <v>1.1051386744994134</v>
      </c>
      <c r="L6">
        <f>'BCDTRtSY-state-adjusted'!L17</f>
        <v>1.123525318627246</v>
      </c>
      <c r="M6">
        <f>'BCDTRtSY-state-adjusted'!M17</f>
        <v>1.1428649327087135</v>
      </c>
      <c r="N6">
        <f>'BCDTRtSY-state-adjusted'!N17</f>
        <v>1.1582181170800048</v>
      </c>
      <c r="O6">
        <f>'BCDTRtSY-state-adjusted'!O17</f>
        <v>1.1702524880311214</v>
      </c>
      <c r="P6">
        <f>'BCDTRtSY-state-adjusted'!P17</f>
        <v>1.1822524182274672</v>
      </c>
      <c r="Q6">
        <f>'BCDTRtSY-state-adjusted'!Q17</f>
        <v>1.1930670480365733</v>
      </c>
      <c r="R6">
        <f>'BCDTRtSY-state-adjusted'!R17</f>
        <v>1.2039390881498389</v>
      </c>
      <c r="S6">
        <f>'BCDTRtSY-state-adjusted'!S17</f>
        <v>1.2140394365326224</v>
      </c>
      <c r="T6">
        <f>'BCDTRtSY-state-adjusted'!T17</f>
        <v>1.225154063777067</v>
      </c>
      <c r="U6">
        <f>'BCDTRtSY-state-adjusted'!U17</f>
        <v>1.2358262476896447</v>
      </c>
      <c r="V6">
        <f>'BCDTRtSY-state-adjusted'!V17</f>
        <v>1.2463234108548582</v>
      </c>
      <c r="W6">
        <f>'BCDTRtSY-state-adjusted'!W17</f>
        <v>1.2581114455015612</v>
      </c>
      <c r="X6">
        <f>'BCDTRtSY-state-adjusted'!X17</f>
        <v>1.2700197073809969</v>
      </c>
      <c r="Y6">
        <f>'BCDTRtSY-state-adjusted'!Y17</f>
        <v>1.2820820506381407</v>
      </c>
      <c r="Z6">
        <f>'BCDTRtSY-state-adjusted'!Z17</f>
        <v>1.2933629302112555</v>
      </c>
      <c r="AA6">
        <f>'BCDTRtSY-state-adjusted'!AA17</f>
        <v>1.3043138907937082</v>
      </c>
      <c r="AB6">
        <f>'BCDTRtSY-state-adjusted'!AB17</f>
        <v>1.3166317167851846</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2026-08-14T21:48:32Z</dcterms:modified>
</cp:coreProperties>
</file>