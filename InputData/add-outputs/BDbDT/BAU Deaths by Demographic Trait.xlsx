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0A5F6506-E0F9-42BD-8F52-7ECE97B6634A}"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Y45" i="9" s="1"/>
  <c r="X25" i="9"/>
  <c r="X45" i="9" s="1"/>
  <c r="W25" i="9"/>
  <c r="W45" i="9" s="1"/>
  <c r="V25" i="9"/>
  <c r="V45" i="9" s="1"/>
  <c r="U25" i="9"/>
  <c r="U45" i="9" s="1"/>
  <c r="T25" i="9"/>
  <c r="T45" i="9" s="1"/>
  <c r="S25" i="9"/>
  <c r="R25" i="9"/>
  <c r="Q25" i="9"/>
  <c r="P25" i="9"/>
  <c r="P45" i="9" s="1"/>
  <c r="O25" i="9"/>
  <c r="O45" i="9" s="1"/>
  <c r="N25" i="9"/>
  <c r="N45" i="9" s="1"/>
  <c r="M25" i="9"/>
  <c r="M45" i="9" s="1"/>
  <c r="L25" i="9"/>
  <c r="L45" i="9" s="1"/>
  <c r="K25" i="9"/>
  <c r="K45" i="9" s="1"/>
  <c r="J25" i="9"/>
  <c r="J45" i="9" s="1"/>
  <c r="I25" i="9"/>
  <c r="I45" i="9" s="1"/>
  <c r="H25" i="9"/>
  <c r="H45" i="9" s="1"/>
  <c r="G25" i="9"/>
  <c r="G45" i="9" s="1"/>
  <c r="F25" i="9"/>
  <c r="F45" i="9" s="1"/>
  <c r="E25" i="9"/>
  <c r="E45" i="9" s="1"/>
  <c r="D25" i="9"/>
  <c r="D45" i="9" s="1"/>
  <c r="C25" i="9"/>
  <c r="C45" i="9" s="1"/>
  <c r="B25" i="9"/>
  <c r="B45" i="9" s="1"/>
  <c r="AB24" i="9"/>
  <c r="AB44" i="9" s="1"/>
  <c r="AA24" i="9"/>
  <c r="AA44" i="9" s="1"/>
  <c r="Z24" i="9"/>
  <c r="Z44" i="9" s="1"/>
  <c r="Y24" i="9"/>
  <c r="Y44" i="9" s="1"/>
  <c r="X24" i="9"/>
  <c r="W24" i="9"/>
  <c r="V24" i="9"/>
  <c r="U24" i="9"/>
  <c r="U44" i="9" s="1"/>
  <c r="T24" i="9"/>
  <c r="T44" i="9" s="1"/>
  <c r="S24" i="9"/>
  <c r="S44" i="9" s="1"/>
  <c r="R24" i="9"/>
  <c r="R44" i="9" s="1"/>
  <c r="Q24" i="9"/>
  <c r="Q44" i="9" s="1"/>
  <c r="P24" i="9"/>
  <c r="P44" i="9" s="1"/>
  <c r="O24" i="9"/>
  <c r="O44" i="9" s="1"/>
  <c r="N24" i="9"/>
  <c r="N44" i="9" s="1"/>
  <c r="M24" i="9"/>
  <c r="M44" i="9" s="1"/>
  <c r="L24" i="9"/>
  <c r="L44" i="9" s="1"/>
  <c r="K24" i="9"/>
  <c r="K44" i="9" s="1"/>
  <c r="J24" i="9"/>
  <c r="J44" i="9" s="1"/>
  <c r="I24" i="9"/>
  <c r="I44" i="9" s="1"/>
  <c r="H24" i="9"/>
  <c r="H44" i="9" s="1"/>
  <c r="G24" i="9"/>
  <c r="G44" i="9" s="1"/>
  <c r="F24" i="9"/>
  <c r="F44" i="9" s="1"/>
  <c r="E24" i="9"/>
  <c r="E44" i="9" s="1"/>
  <c r="D24" i="9"/>
  <c r="D44" i="9" s="1"/>
  <c r="C24" i="9"/>
  <c r="C44" i="9" s="1"/>
  <c r="B24" i="9"/>
  <c r="AB23" i="9"/>
  <c r="AA23" i="9"/>
  <c r="Z23" i="9"/>
  <c r="Z43" i="9" s="1"/>
  <c r="Y23" i="9"/>
  <c r="X23" i="9"/>
  <c r="X43" i="9" s="1"/>
  <c r="W23" i="9"/>
  <c r="W43" i="9" s="1"/>
  <c r="V23" i="9"/>
  <c r="V43" i="9" s="1"/>
  <c r="U23" i="9"/>
  <c r="U43" i="9" s="1"/>
  <c r="T23" i="9"/>
  <c r="T43" i="9" s="1"/>
  <c r="S23" i="9"/>
  <c r="R23" i="9"/>
  <c r="R43" i="9" s="1"/>
  <c r="Q23" i="9"/>
  <c r="Q43" i="9" s="1"/>
  <c r="P23" i="9"/>
  <c r="P43" i="9" s="1"/>
  <c r="O23" i="9"/>
  <c r="O43" i="9" s="1"/>
  <c r="N23" i="9"/>
  <c r="N43" i="9" s="1"/>
  <c r="M23" i="9"/>
  <c r="L23" i="9"/>
  <c r="L43" i="9" s="1"/>
  <c r="K23" i="9"/>
  <c r="K43" i="9" s="1"/>
  <c r="J23" i="9"/>
  <c r="J43" i="9" s="1"/>
  <c r="I23" i="9"/>
  <c r="I43" i="9" s="1"/>
  <c r="H23" i="9"/>
  <c r="H43" i="9" s="1"/>
  <c r="G23" i="9"/>
  <c r="F23" i="9"/>
  <c r="E23" i="9"/>
  <c r="D23" i="9"/>
  <c r="D43" i="9" s="1"/>
  <c r="C23" i="9"/>
  <c r="B23" i="9"/>
  <c r="B43" i="9" s="1"/>
  <c r="AB22" i="9"/>
  <c r="AB42" i="9" s="1"/>
  <c r="AA22" i="9"/>
  <c r="AA42" i="9" s="1"/>
  <c r="Z22" i="9"/>
  <c r="Z42" i="9" s="1"/>
  <c r="Y22" i="9"/>
  <c r="Y42" i="9" s="1"/>
  <c r="X22" i="9"/>
  <c r="W22" i="9"/>
  <c r="W42" i="9" s="1"/>
  <c r="V22" i="9"/>
  <c r="V42" i="9" s="1"/>
  <c r="U22" i="9"/>
  <c r="U42" i="9" s="1"/>
  <c r="T22" i="9"/>
  <c r="T42" i="9" s="1"/>
  <c r="S22" i="9"/>
  <c r="S42" i="9" s="1"/>
  <c r="R22" i="9"/>
  <c r="Q22" i="9"/>
  <c r="Q42" i="9" s="1"/>
  <c r="P22" i="9"/>
  <c r="P42" i="9" s="1"/>
  <c r="O22" i="9"/>
  <c r="O42" i="9" s="1"/>
  <c r="N22" i="9"/>
  <c r="N42" i="9" s="1"/>
  <c r="M22" i="9"/>
  <c r="M42" i="9" s="1"/>
  <c r="L22" i="9"/>
  <c r="K22" i="9"/>
  <c r="J22" i="9"/>
  <c r="I22" i="9"/>
  <c r="I42" i="9" s="1"/>
  <c r="H22" i="9"/>
  <c r="G22" i="9"/>
  <c r="G42" i="9" s="1"/>
  <c r="F22" i="9"/>
  <c r="F42" i="9" s="1"/>
  <c r="E22" i="9"/>
  <c r="E42" i="9" s="1"/>
  <c r="D22" i="9"/>
  <c r="D42" i="9" s="1"/>
  <c r="C22" i="9"/>
  <c r="C42" i="9" s="1"/>
  <c r="B22" i="9"/>
  <c r="AB21" i="9"/>
  <c r="AB41" i="9" s="1"/>
  <c r="AA21" i="9"/>
  <c r="AA41" i="9" s="1"/>
  <c r="Z21" i="9"/>
  <c r="Z41" i="9" s="1"/>
  <c r="Y21" i="9"/>
  <c r="Y41" i="9" s="1"/>
  <c r="X21" i="9"/>
  <c r="X41" i="9" s="1"/>
  <c r="W21" i="9"/>
  <c r="V21" i="9"/>
  <c r="V41" i="9" s="1"/>
  <c r="U21" i="9"/>
  <c r="U41" i="9" s="1"/>
  <c r="T21" i="9"/>
  <c r="T41" i="9" s="1"/>
  <c r="S21" i="9"/>
  <c r="S41" i="9" s="1"/>
  <c r="R21" i="9"/>
  <c r="R41" i="9" s="1"/>
  <c r="Q21" i="9"/>
  <c r="P21" i="9"/>
  <c r="O21" i="9"/>
  <c r="N21" i="9"/>
  <c r="M21" i="9"/>
  <c r="L21" i="9"/>
  <c r="L41" i="9" s="1"/>
  <c r="K21" i="9"/>
  <c r="K41" i="9" s="1"/>
  <c r="J21" i="9"/>
  <c r="J41" i="9" s="1"/>
  <c r="I21" i="9"/>
  <c r="I41" i="9" s="1"/>
  <c r="H21" i="9"/>
  <c r="H41" i="9" s="1"/>
  <c r="G21" i="9"/>
  <c r="F21" i="9"/>
  <c r="F41" i="9" s="1"/>
  <c r="E21" i="9"/>
  <c r="E41" i="9" s="1"/>
  <c r="D21" i="9"/>
  <c r="D41" i="9" s="1"/>
  <c r="C21" i="9"/>
  <c r="C41" i="9" s="1"/>
  <c r="B21" i="9"/>
  <c r="B41" i="9" s="1"/>
  <c r="AB20" i="9"/>
  <c r="AA20" i="9"/>
  <c r="AA40" i="9" s="1"/>
  <c r="Z20" i="9"/>
  <c r="Z40" i="9" s="1"/>
  <c r="Y20" i="9"/>
  <c r="Y40" i="9" s="1"/>
  <c r="X20" i="9"/>
  <c r="X40" i="9" s="1"/>
  <c r="W20" i="9"/>
  <c r="W40" i="9" s="1"/>
  <c r="V20" i="9"/>
  <c r="U20" i="9"/>
  <c r="T20" i="9"/>
  <c r="S20" i="9"/>
  <c r="R20" i="9"/>
  <c r="Q20" i="9"/>
  <c r="Q40" i="9" s="1"/>
  <c r="P20" i="9"/>
  <c r="P40" i="9" s="1"/>
  <c r="O20" i="9"/>
  <c r="O40" i="9" s="1"/>
  <c r="N20" i="9"/>
  <c r="N40" i="9" s="1"/>
  <c r="M20" i="9"/>
  <c r="M40" i="9" s="1"/>
  <c r="L20" i="9"/>
  <c r="K20" i="9"/>
  <c r="K40" i="9" s="1"/>
  <c r="J20" i="9"/>
  <c r="J40" i="9" s="1"/>
  <c r="I20" i="9"/>
  <c r="I40" i="9" s="1"/>
  <c r="H20" i="9"/>
  <c r="H40" i="9" s="1"/>
  <c r="G20" i="9"/>
  <c r="G40" i="9" s="1"/>
  <c r="F20" i="9"/>
  <c r="E20" i="9"/>
  <c r="E40" i="9" s="1"/>
  <c r="D20" i="9"/>
  <c r="D40" i="9" s="1"/>
  <c r="C20" i="9"/>
  <c r="C40" i="9" s="1"/>
  <c r="B20" i="9"/>
  <c r="B40" i="9" s="1"/>
  <c r="AB19" i="9"/>
  <c r="AB39" i="9" s="1"/>
  <c r="AA19" i="9"/>
  <c r="Z19" i="9"/>
  <c r="Y19" i="9"/>
  <c r="X19" i="9"/>
  <c r="W19" i="9"/>
  <c r="V19" i="9"/>
  <c r="V39" i="9" s="1"/>
  <c r="U19" i="9"/>
  <c r="U39" i="9" s="1"/>
  <c r="T19" i="9"/>
  <c r="T39" i="9" s="1"/>
  <c r="S19" i="9"/>
  <c r="S39" i="9" s="1"/>
  <c r="R19" i="9"/>
  <c r="R39" i="9" s="1"/>
  <c r="Q19" i="9"/>
  <c r="P19" i="9"/>
  <c r="P39" i="9" s="1"/>
  <c r="O19" i="9"/>
  <c r="O39" i="9" s="1"/>
  <c r="N19" i="9"/>
  <c r="N39" i="9" s="1"/>
  <c r="M19" i="9"/>
  <c r="M39" i="9" s="1"/>
  <c r="L19" i="9"/>
  <c r="L39" i="9" s="1"/>
  <c r="K19" i="9"/>
  <c r="J19" i="9"/>
  <c r="J39" i="9" s="1"/>
  <c r="I19" i="9"/>
  <c r="I39" i="9" s="1"/>
  <c r="H19" i="9"/>
  <c r="H39" i="9" s="1"/>
  <c r="G19" i="9"/>
  <c r="G39" i="9" s="1"/>
  <c r="F19" i="9"/>
  <c r="F39" i="9" s="1"/>
  <c r="E19" i="9"/>
  <c r="D19" i="9"/>
  <c r="C19" i="9"/>
  <c r="B19" i="9"/>
  <c r="AB18" i="9"/>
  <c r="AA18" i="9"/>
  <c r="AA38" i="9" s="1"/>
  <c r="Z18" i="9"/>
  <c r="Z38" i="9" s="1"/>
  <c r="Y18" i="9"/>
  <c r="Y38" i="9" s="1"/>
  <c r="X18" i="9"/>
  <c r="X38" i="9" s="1"/>
  <c r="W18" i="9"/>
  <c r="W38" i="9" s="1"/>
  <c r="V18" i="9"/>
  <c r="U18" i="9"/>
  <c r="U38" i="9" s="1"/>
  <c r="T18" i="9"/>
  <c r="T38" i="9" s="1"/>
  <c r="S18" i="9"/>
  <c r="S38" i="9" s="1"/>
  <c r="R18" i="9"/>
  <c r="R38" i="9" s="1"/>
  <c r="Q18" i="9"/>
  <c r="Q38" i="9" s="1"/>
  <c r="P18" i="9"/>
  <c r="O18" i="9"/>
  <c r="O38" i="9" s="1"/>
  <c r="N18" i="9"/>
  <c r="N38" i="9" s="1"/>
  <c r="M18" i="9"/>
  <c r="M38" i="9" s="1"/>
  <c r="L18" i="9"/>
  <c r="L38" i="9" s="1"/>
  <c r="K18" i="9"/>
  <c r="K38" i="9" s="1"/>
  <c r="J18" i="9"/>
  <c r="I18" i="9"/>
  <c r="H18" i="9"/>
  <c r="G18" i="9"/>
  <c r="F18" i="9"/>
  <c r="E18" i="9"/>
  <c r="E38" i="9" s="1"/>
  <c r="D18" i="9"/>
  <c r="D38" i="9" s="1"/>
  <c r="C18" i="9"/>
  <c r="C38" i="9" s="1"/>
  <c r="B18" i="9"/>
  <c r="B38" i="9" s="1"/>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Z15" i="9" s="1"/>
  <c r="Y13" i="9"/>
  <c r="Y15" i="9" s="1"/>
  <c r="X13" i="9"/>
  <c r="X15" i="9" s="1"/>
  <c r="W13" i="9"/>
  <c r="W15" i="9" s="1"/>
  <c r="V13" i="9"/>
  <c r="V15" i="9" s="1"/>
  <c r="U13" i="9"/>
  <c r="U15" i="9" s="1"/>
  <c r="T13" i="9"/>
  <c r="T15" i="9" s="1"/>
  <c r="S13" i="9"/>
  <c r="S15" i="9" s="1"/>
  <c r="R13" i="9"/>
  <c r="R15" i="9" s="1"/>
  <c r="Q13" i="9"/>
  <c r="Q15" i="9" s="1"/>
  <c r="P13" i="9"/>
  <c r="O13" i="9"/>
  <c r="N13" i="9"/>
  <c r="M13" i="9"/>
  <c r="M15" i="9" s="1"/>
  <c r="L13" i="9"/>
  <c r="K13" i="9"/>
  <c r="J13" i="9"/>
  <c r="I13" i="9"/>
  <c r="I15" i="9" s="1"/>
  <c r="H13" i="9"/>
  <c r="G13" i="9"/>
  <c r="G15" i="9" s="1"/>
  <c r="F13" i="9"/>
  <c r="E13" i="9"/>
  <c r="D13" i="9"/>
  <c r="D15" i="9" s="1"/>
  <c r="C13" i="9"/>
  <c r="C15" i="9" s="1"/>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F38" i="9" l="1"/>
  <c r="AB38" i="9"/>
  <c r="W39" i="9"/>
  <c r="R40" i="9"/>
  <c r="M41" i="9"/>
  <c r="H42" i="9"/>
  <c r="C43" i="9"/>
  <c r="Y43" i="9"/>
  <c r="G38" i="9"/>
  <c r="B39" i="9"/>
  <c r="X39" i="9"/>
  <c r="S40" i="9"/>
  <c r="N41" i="9"/>
  <c r="B15" i="9"/>
  <c r="B58" i="9" s="1"/>
  <c r="P38" i="9"/>
  <c r="K39" i="9"/>
  <c r="F40" i="9"/>
  <c r="AB40" i="9"/>
  <c r="W41" i="9"/>
  <c r="R42" i="9"/>
  <c r="M43" i="9"/>
  <c r="M63" i="9" s="1"/>
  <c r="M7" i="11" s="1"/>
  <c r="H15" i="9"/>
  <c r="H50" i="9" s="1"/>
  <c r="J15" i="9"/>
  <c r="K15" i="9"/>
  <c r="L15" i="9"/>
  <c r="L58" i="9" s="1"/>
  <c r="V38" i="9"/>
  <c r="V58" i="9" s="1"/>
  <c r="Q39" i="9"/>
  <c r="L40" i="9"/>
  <c r="G41" i="9"/>
  <c r="B42" i="9"/>
  <c r="X42" i="9"/>
  <c r="S43" i="9"/>
  <c r="S63" i="9" s="1"/>
  <c r="S7" i="11" s="1"/>
  <c r="F4" i="9"/>
  <c r="L48" i="9" s="1"/>
  <c r="I64" i="9"/>
  <c r="I8" i="11" s="1"/>
  <c r="E15" i="9"/>
  <c r="E51" i="9" s="1"/>
  <c r="E5" i="10" s="1"/>
  <c r="AA15" i="9"/>
  <c r="AA62" i="9" s="1"/>
  <c r="AA6" i="11" s="1"/>
  <c r="F7" i="9"/>
  <c r="G61" i="9" s="1"/>
  <c r="G5" i="11" s="1"/>
  <c r="F15" i="9"/>
  <c r="F55" i="9" s="1"/>
  <c r="F9" i="10" s="1"/>
  <c r="AB15" i="9"/>
  <c r="AB61" i="9" s="1"/>
  <c r="AB5" i="11" s="1"/>
  <c r="K64" i="9"/>
  <c r="K8" i="11" s="1"/>
  <c r="T58" i="9"/>
  <c r="T2" i="11" s="1"/>
  <c r="AA61" i="9"/>
  <c r="AA5" i="11" s="1"/>
  <c r="F6" i="9"/>
  <c r="C50" i="9" s="1"/>
  <c r="F10" i="9"/>
  <c r="I54" i="9" s="1"/>
  <c r="X54" i="9"/>
  <c r="C54" i="9"/>
  <c r="C8" i="10" s="1"/>
  <c r="Y54" i="9"/>
  <c r="F11" i="9"/>
  <c r="D55" i="9" s="1"/>
  <c r="D9" i="10" s="1"/>
  <c r="M61" i="9"/>
  <c r="M5" i="11" s="1"/>
  <c r="J50" i="9"/>
  <c r="J54" i="9"/>
  <c r="Q48" i="9"/>
  <c r="R48" i="9"/>
  <c r="L60" i="9"/>
  <c r="G50" i="9"/>
  <c r="J60" i="9"/>
  <c r="J38" i="9"/>
  <c r="E39" i="9"/>
  <c r="AA39" i="9"/>
  <c r="V40" i="9"/>
  <c r="V60" i="9" s="1"/>
  <c r="Q41" i="9"/>
  <c r="L42" i="9"/>
  <c r="G43" i="9"/>
  <c r="B44" i="9"/>
  <c r="B64" i="9" s="1"/>
  <c r="X44" i="9"/>
  <c r="S45" i="9"/>
  <c r="D50" i="9"/>
  <c r="Z50" i="9"/>
  <c r="U51" i="9"/>
  <c r="U5" i="10" s="1"/>
  <c r="K53" i="9"/>
  <c r="K7" i="10" s="1"/>
  <c r="Y55" i="9"/>
  <c r="Y9" i="10" s="1"/>
  <c r="Z58" i="9"/>
  <c r="G58" i="9"/>
  <c r="T61" i="9"/>
  <c r="T5" i="11" s="1"/>
  <c r="J42" i="9"/>
  <c r="Q45" i="9"/>
  <c r="I63" i="9"/>
  <c r="I7" i="11" s="1"/>
  <c r="J63" i="9"/>
  <c r="J7" i="11" s="1"/>
  <c r="Y63" i="9"/>
  <c r="Y7" i="11" s="1"/>
  <c r="H38" i="9"/>
  <c r="Y39" i="9"/>
  <c r="T40" i="9"/>
  <c r="T60" i="9" s="1"/>
  <c r="E43" i="9"/>
  <c r="V44" i="9"/>
  <c r="B50" i="9"/>
  <c r="S51" i="9"/>
  <c r="S5" i="10" s="1"/>
  <c r="I53" i="9"/>
  <c r="I7" i="10" s="1"/>
  <c r="Z39" i="9"/>
  <c r="K42" i="9"/>
  <c r="R45" i="9"/>
  <c r="K63" i="9"/>
  <c r="K7" i="11" s="1"/>
  <c r="I38" i="9"/>
  <c r="U40" i="9"/>
  <c r="F43" i="9"/>
  <c r="W44" i="9"/>
  <c r="W64" i="9" s="1"/>
  <c r="Y50" i="9"/>
  <c r="V50" i="9"/>
  <c r="X8" i="10"/>
  <c r="S61" i="9"/>
  <c r="S5" i="11" s="1"/>
  <c r="K48" i="9"/>
  <c r="C39" i="9"/>
  <c r="O41" i="9"/>
  <c r="AA43" i="9"/>
  <c r="D39" i="9"/>
  <c r="P41" i="9"/>
  <c r="AB43" i="9"/>
  <c r="W60" i="9"/>
  <c r="Y64" i="9"/>
  <c r="O48" i="9"/>
  <c r="L53" i="9"/>
  <c r="L7" i="10" s="1"/>
  <c r="L63" i="9"/>
  <c r="L7" i="11" s="1"/>
  <c r="F8" i="9"/>
  <c r="W61" i="9"/>
  <c r="W5" i="11" s="1"/>
  <c r="T48" i="9"/>
  <c r="T50" i="9"/>
  <c r="Z60" i="9"/>
  <c r="R60" i="9"/>
  <c r="G60" i="9"/>
  <c r="U48" i="9"/>
  <c r="R58" i="9"/>
  <c r="C61" i="9"/>
  <c r="C5" i="11" s="1"/>
  <c r="Y61" i="9"/>
  <c r="Y5" i="11" s="1"/>
  <c r="V48" i="9"/>
  <c r="L50" i="9"/>
  <c r="G51" i="9"/>
  <c r="G5" i="10" s="1"/>
  <c r="G64" i="9"/>
  <c r="B63" i="9"/>
  <c r="B7" i="11" s="1"/>
  <c r="U50" i="9"/>
  <c r="F9" i="9"/>
  <c r="G53" i="9" s="1"/>
  <c r="G7" i="10" s="1"/>
  <c r="I60" i="9"/>
  <c r="M50" i="9"/>
  <c r="Z64" i="9"/>
  <c r="Y49" i="9"/>
  <c r="Y3" i="10" s="1"/>
  <c r="C49" i="9"/>
  <c r="C3" i="10" s="1"/>
  <c r="Q55" i="9"/>
  <c r="Q9" i="10" s="1"/>
  <c r="T53" i="9"/>
  <c r="T7" i="10" s="1"/>
  <c r="AA58" i="9"/>
  <c r="S64" i="9"/>
  <c r="B48" i="9"/>
  <c r="X48" i="9"/>
  <c r="I51" i="9"/>
  <c r="I5" i="10" s="1"/>
  <c r="N15" i="9"/>
  <c r="N48" i="9" s="1"/>
  <c r="O15" i="9"/>
  <c r="O51" i="9" s="1"/>
  <c r="O5" i="10" s="1"/>
  <c r="W53" i="9"/>
  <c r="W7" i="10" s="1"/>
  <c r="R54" i="9"/>
  <c r="B60" i="9"/>
  <c r="Q60" i="9"/>
  <c r="K50" i="9"/>
  <c r="P15" i="9"/>
  <c r="P58" i="9" s="1"/>
  <c r="M54" i="9"/>
  <c r="W58" i="9"/>
  <c r="M60" i="9"/>
  <c r="T63" i="9"/>
  <c r="T7" i="11" s="1"/>
  <c r="AA48" i="9"/>
  <c r="C60" i="9"/>
  <c r="F5" i="9"/>
  <c r="G49" i="9" s="1"/>
  <c r="G3" i="10" s="1"/>
  <c r="S59" i="9"/>
  <c r="S3" i="11" s="1"/>
  <c r="U63" i="9"/>
  <c r="U7" i="11" s="1"/>
  <c r="R50" i="9"/>
  <c r="C53" i="9"/>
  <c r="C7" i="10" s="1"/>
  <c r="Y53" i="9"/>
  <c r="Y7" i="10" s="1"/>
  <c r="T54" i="9"/>
  <c r="O55" i="9"/>
  <c r="O9" i="10" s="1"/>
  <c r="D60" i="9"/>
  <c r="C58" i="9"/>
  <c r="Y58" i="9"/>
  <c r="T59" i="9"/>
  <c r="T3" i="11" s="1"/>
  <c r="O60" i="9"/>
  <c r="V63" i="9"/>
  <c r="V7" i="11" s="1"/>
  <c r="D53" i="9"/>
  <c r="D7" i="10" s="1"/>
  <c r="X60" i="9"/>
  <c r="I8" i="10"/>
  <c r="L54" i="9"/>
  <c r="AB60" i="9" l="1"/>
  <c r="N50" i="9"/>
  <c r="F58" i="9"/>
  <c r="F60" i="9"/>
  <c r="H62" i="9"/>
  <c r="H6" i="11" s="1"/>
  <c r="AA60" i="9"/>
  <c r="V61" i="9"/>
  <c r="V5" i="11" s="1"/>
  <c r="H58" i="9"/>
  <c r="F64" i="9"/>
  <c r="F8" i="11" s="1"/>
  <c r="H60" i="9"/>
  <c r="H4" i="11" s="1"/>
  <c r="Z51" i="9"/>
  <c r="Z5" i="10" s="1"/>
  <c r="V51" i="9"/>
  <c r="V5" i="10" s="1"/>
  <c r="AB53" i="9"/>
  <c r="AB7" i="10" s="1"/>
  <c r="X61" i="9"/>
  <c r="X5" i="11" s="1"/>
  <c r="H64" i="9"/>
  <c r="K51" i="9"/>
  <c r="K5" i="10" s="1"/>
  <c r="H48" i="9"/>
  <c r="R51" i="9"/>
  <c r="R5" i="10" s="1"/>
  <c r="H51" i="9"/>
  <c r="H5" i="10" s="1"/>
  <c r="D58" i="9"/>
  <c r="J51" i="9"/>
  <c r="J5" i="10" s="1"/>
  <c r="F53" i="9"/>
  <c r="F7" i="10" s="1"/>
  <c r="E50" i="9"/>
  <c r="G48" i="9"/>
  <c r="O50" i="9"/>
  <c r="Z49" i="9"/>
  <c r="Z3" i="10" s="1"/>
  <c r="C64" i="9"/>
  <c r="K61" i="9"/>
  <c r="K5" i="11" s="1"/>
  <c r="Q64" i="9"/>
  <c r="Q73" i="9" s="1"/>
  <c r="S48" i="9"/>
  <c r="T49" i="9"/>
  <c r="T3" i="10" s="1"/>
  <c r="S58" i="9"/>
  <c r="S71" i="9" s="1"/>
  <c r="X63" i="9"/>
  <c r="X7" i="11" s="1"/>
  <c r="U61" i="9"/>
  <c r="U5" i="11" s="1"/>
  <c r="R61" i="9"/>
  <c r="R5" i="11" s="1"/>
  <c r="AB58" i="9"/>
  <c r="Y51" i="9"/>
  <c r="Y5" i="10" s="1"/>
  <c r="AB59" i="9"/>
  <c r="AB3" i="11" s="1"/>
  <c r="M48" i="9"/>
  <c r="M2" i="10" s="1"/>
  <c r="AA52" i="9"/>
  <c r="AA6" i="10" s="1"/>
  <c r="V54" i="9"/>
  <c r="V8" i="10" s="1"/>
  <c r="J58" i="9"/>
  <c r="J71" i="9" s="1"/>
  <c r="T51" i="9"/>
  <c r="T5" i="10" s="1"/>
  <c r="K58" i="9"/>
  <c r="K71" i="9" s="1"/>
  <c r="I48" i="9"/>
  <c r="C51" i="9"/>
  <c r="C5" i="10" s="1"/>
  <c r="Z48" i="9"/>
  <c r="N60" i="9"/>
  <c r="D48" i="9"/>
  <c r="Q58" i="9"/>
  <c r="Q2" i="11" s="1"/>
  <c r="I58" i="9"/>
  <c r="I2" i="11" s="1"/>
  <c r="U54" i="9"/>
  <c r="X58" i="9"/>
  <c r="C48" i="9"/>
  <c r="U58" i="9"/>
  <c r="U2" i="11" s="1"/>
  <c r="M51" i="9"/>
  <c r="M5" i="10" s="1"/>
  <c r="Y70" i="9"/>
  <c r="I61" i="9"/>
  <c r="I5" i="11" s="1"/>
  <c r="Q51" i="9"/>
  <c r="Q5" i="10" s="1"/>
  <c r="W48" i="9"/>
  <c r="AB63" i="9"/>
  <c r="AB7" i="11" s="1"/>
  <c r="J48" i="9"/>
  <c r="D61" i="9"/>
  <c r="D5" i="11" s="1"/>
  <c r="R64" i="9"/>
  <c r="F49" i="9"/>
  <c r="F3" i="10" s="1"/>
  <c r="U65" i="9"/>
  <c r="U9" i="11" s="1"/>
  <c r="Y48" i="9"/>
  <c r="M58" i="9"/>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V65" i="9"/>
  <c r="V9" i="11" s="1"/>
  <c r="S54" i="9"/>
  <c r="AA64" i="9"/>
  <c r="AA8" i="11" s="1"/>
  <c r="AB65" i="9"/>
  <c r="AB9" i="11" s="1"/>
  <c r="H55" i="9"/>
  <c r="H9" i="10" s="1"/>
  <c r="N52" i="9"/>
  <c r="N6" i="10" s="1"/>
  <c r="U55" i="9"/>
  <c r="U9" i="10" s="1"/>
  <c r="X55" i="9"/>
  <c r="S65" i="9"/>
  <c r="S9" i="11" s="1"/>
  <c r="W54" i="9"/>
  <c r="D65" i="9"/>
  <c r="D9" i="11" s="1"/>
  <c r="R8" i="11"/>
  <c r="X52" i="9"/>
  <c r="X6" i="10" s="1"/>
  <c r="AB50" i="9"/>
  <c r="B65" i="9"/>
  <c r="B9" i="11" s="1"/>
  <c r="E60" i="9"/>
  <c r="E4" i="11" s="1"/>
  <c r="M55" i="9"/>
  <c r="M9" i="10" s="1"/>
  <c r="D52" i="9"/>
  <c r="D6" i="10" s="1"/>
  <c r="F65" i="9"/>
  <c r="F9" i="11" s="1"/>
  <c r="Q49" i="9"/>
  <c r="Q3" i="10" s="1"/>
  <c r="R55" i="9"/>
  <c r="R9" i="10" s="1"/>
  <c r="AA55" i="9"/>
  <c r="AA9" i="10" s="1"/>
  <c r="X50" i="9"/>
  <c r="X4" i="10" s="1"/>
  <c r="J59" i="9"/>
  <c r="J3" i="11" s="1"/>
  <c r="X64" i="9"/>
  <c r="X8" i="11" s="1"/>
  <c r="K60" i="9"/>
  <c r="K72" i="9" s="1"/>
  <c r="L61" i="9"/>
  <c r="L5" i="11" s="1"/>
  <c r="AA51" i="9"/>
  <c r="AA5" i="10" s="1"/>
  <c r="AA65" i="9"/>
  <c r="AA9" i="11" s="1"/>
  <c r="U62" i="9"/>
  <c r="U6" i="11" s="1"/>
  <c r="E65" i="9"/>
  <c r="E9" i="11" s="1"/>
  <c r="V64" i="9"/>
  <c r="V73" i="9" s="1"/>
  <c r="AB51" i="9"/>
  <c r="AB5" i="10" s="1"/>
  <c r="W65" i="9"/>
  <c r="W9" i="11" s="1"/>
  <c r="Q50" i="9"/>
  <c r="Q4" i="10" s="1"/>
  <c r="Z61" i="9"/>
  <c r="Z5" i="11" s="1"/>
  <c r="J64" i="9"/>
  <c r="J73" i="9" s="1"/>
  <c r="E58" i="9"/>
  <c r="AA50" i="9"/>
  <c r="AA4" i="10" s="1"/>
  <c r="O61" i="9"/>
  <c r="O5" i="11" s="1"/>
  <c r="E54" i="9"/>
  <c r="Q61" i="9"/>
  <c r="Q5" i="11" s="1"/>
  <c r="G54" i="9"/>
  <c r="G8" i="10" s="1"/>
  <c r="F51" i="9"/>
  <c r="F5" i="10" s="1"/>
  <c r="B55" i="9"/>
  <c r="B9" i="10" s="1"/>
  <c r="T65" i="9"/>
  <c r="T9" i="11" s="1"/>
  <c r="Y8" i="10"/>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K65" i="9"/>
  <c r="O64" i="9"/>
  <c r="O73" i="9" s="1"/>
  <c r="O62" i="9"/>
  <c r="O6" i="11" s="1"/>
  <c r="N65" i="9"/>
  <c r="N9" i="11" s="1"/>
  <c r="I50" i="9"/>
  <c r="D51" i="9"/>
  <c r="D5" i="10" s="1"/>
  <c r="U64" i="9"/>
  <c r="U8" i="11" s="1"/>
  <c r="E55" i="9"/>
  <c r="E9" i="10" s="1"/>
  <c r="Z54" i="9"/>
  <c r="F54" i="9"/>
  <c r="F8" i="10" s="1"/>
  <c r="B51" i="9"/>
  <c r="B5" i="10" s="1"/>
  <c r="M64" i="9"/>
  <c r="M8" i="11" s="1"/>
  <c r="V49" i="9"/>
  <c r="V3" i="10" s="1"/>
  <c r="C59" i="9"/>
  <c r="C3" i="11" s="1"/>
  <c r="Q65" i="9"/>
  <c r="Q9" i="11" s="1"/>
  <c r="I65" i="9"/>
  <c r="I9" i="11" s="1"/>
  <c r="E64" i="9"/>
  <c r="AA59" i="9"/>
  <c r="AA3" i="11" s="1"/>
  <c r="AB48" i="9"/>
  <c r="E48" i="9"/>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P2" i="11"/>
  <c r="N2" i="10"/>
  <c r="T68" i="9"/>
  <c r="T2" i="10"/>
  <c r="AA69" i="9"/>
  <c r="I62" i="9"/>
  <c r="I6" i="11" s="1"/>
  <c r="J62" i="9"/>
  <c r="J6" i="11" s="1"/>
  <c r="P52" i="9"/>
  <c r="P6" i="10" s="1"/>
  <c r="J2" i="10"/>
  <c r="I2" i="10"/>
  <c r="E62" i="9"/>
  <c r="E6" i="11" s="1"/>
  <c r="AA2" i="10"/>
  <c r="I4" i="11"/>
  <c r="I72" i="9"/>
  <c r="L4" i="10"/>
  <c r="E2" i="10"/>
  <c r="Y2" i="10"/>
  <c r="Y68" i="9"/>
  <c r="S62" i="9"/>
  <c r="S6" i="11" s="1"/>
  <c r="Y8" i="11"/>
  <c r="Y73" i="9"/>
  <c r="AB62" i="9"/>
  <c r="AB6" i="11" s="1"/>
  <c r="AA49" i="9"/>
  <c r="AA3" i="10" s="1"/>
  <c r="H53" i="9"/>
  <c r="H7" i="10" s="1"/>
  <c r="Z4" i="10"/>
  <c r="L2" i="11"/>
  <c r="R62" i="9"/>
  <c r="R6" i="11" s="1"/>
  <c r="AA4" i="11"/>
  <c r="AA72" i="9"/>
  <c r="AB49" i="9"/>
  <c r="AB3" i="10" s="1"/>
  <c r="S52" i="9"/>
  <c r="S6" i="10" s="1"/>
  <c r="O2" i="10"/>
  <c r="L2" i="10"/>
  <c r="G62" i="9"/>
  <c r="G6" i="11" s="1"/>
  <c r="H8" i="11"/>
  <c r="H73" i="9"/>
  <c r="J4" i="11"/>
  <c r="Z62" i="9"/>
  <c r="Z6" i="11" s="1"/>
  <c r="O4" i="10"/>
  <c r="S2" i="11"/>
  <c r="B71" i="9"/>
  <c r="B2" i="11"/>
  <c r="Y62" i="9"/>
  <c r="Y6" i="11" s="1"/>
  <c r="F52" i="9"/>
  <c r="F6" i="10" s="1"/>
  <c r="N55" i="9"/>
  <c r="N9" i="10" s="1"/>
  <c r="N49" i="9"/>
  <c r="N3" i="10" s="1"/>
  <c r="N53" i="9"/>
  <c r="N7" i="10" s="1"/>
  <c r="M53" i="9"/>
  <c r="M7" i="10" s="1"/>
  <c r="Q63" i="9"/>
  <c r="Q7" i="11" s="1"/>
  <c r="R63" i="9"/>
  <c r="R7" i="11" s="1"/>
  <c r="N62" i="9"/>
  <c r="N6" i="11" s="1"/>
  <c r="Q53" i="9"/>
  <c r="Q7" i="10" s="1"/>
  <c r="C62" i="9"/>
  <c r="C6" i="11" s="1"/>
  <c r="Z8" i="11"/>
  <c r="M2" i="11"/>
  <c r="O63" i="9"/>
  <c r="O7" i="11" s="1"/>
  <c r="R4" i="11"/>
  <c r="AB4" i="11"/>
  <c r="AA70" i="9"/>
  <c r="K2" i="10"/>
  <c r="Q52" i="9"/>
  <c r="Q6" i="10" s="1"/>
  <c r="H2" i="10"/>
  <c r="P65" i="9"/>
  <c r="P9" i="11" s="1"/>
  <c r="AB4" i="10"/>
  <c r="X4" i="11"/>
  <c r="D4" i="11"/>
  <c r="Q59" i="9"/>
  <c r="Q3" i="11" s="1"/>
  <c r="L49" i="9"/>
  <c r="L3" i="10" s="1"/>
  <c r="K49" i="9"/>
  <c r="K3" i="10" s="1"/>
  <c r="M49" i="9"/>
  <c r="M3" i="10" s="1"/>
  <c r="P50" i="9"/>
  <c r="P49" i="9"/>
  <c r="P3" i="10" s="1"/>
  <c r="T62" i="9"/>
  <c r="T6" i="11" s="1"/>
  <c r="U52" i="9"/>
  <c r="U6" i="10" s="1"/>
  <c r="F4" i="11"/>
  <c r="J53" i="9"/>
  <c r="J7" i="10" s="1"/>
  <c r="J49" i="9"/>
  <c r="J3" i="10" s="1"/>
  <c r="K62" i="9"/>
  <c r="K6" i="11" s="1"/>
  <c r="D2" i="11"/>
  <c r="Z63" i="9"/>
  <c r="Z7" i="11" s="1"/>
  <c r="B8" i="11"/>
  <c r="D62" i="9"/>
  <c r="D6" i="11" s="1"/>
  <c r="B72" i="9"/>
  <c r="B4" i="11"/>
  <c r="R8" i="10"/>
  <c r="C2" i="10"/>
  <c r="C68" i="9"/>
  <c r="G4" i="11"/>
  <c r="D8" i="11"/>
  <c r="D73" i="9"/>
  <c r="D4" i="10"/>
  <c r="Y2" i="11"/>
  <c r="Q62" i="9"/>
  <c r="Q6" i="11" s="1"/>
  <c r="M62" i="9"/>
  <c r="M6" i="11" s="1"/>
  <c r="V2" i="11"/>
  <c r="L8" i="10"/>
  <c r="C71" i="9"/>
  <c r="C2" i="11"/>
  <c r="X2" i="11"/>
  <c r="AB52" i="9"/>
  <c r="AB6" i="10" s="1"/>
  <c r="M4" i="11"/>
  <c r="U49" i="9"/>
  <c r="U3" i="10" s="1"/>
  <c r="U53" i="9"/>
  <c r="U7" i="10" s="1"/>
  <c r="Y52" i="9"/>
  <c r="Y6" i="10" s="1"/>
  <c r="K59" i="9"/>
  <c r="K3" i="11" s="1"/>
  <c r="O52" i="9"/>
  <c r="O6" i="10" s="1"/>
  <c r="D63" i="9"/>
  <c r="D7" i="11" s="1"/>
  <c r="M73" i="9"/>
  <c r="N61" i="9"/>
  <c r="N5" i="11" s="1"/>
  <c r="G63" i="9"/>
  <c r="G7" i="11" s="1"/>
  <c r="G4" i="10"/>
  <c r="K2" i="11"/>
  <c r="AB2" i="11"/>
  <c r="B52" i="9"/>
  <c r="B6" i="10" s="1"/>
  <c r="O4" i="11"/>
  <c r="N4" i="11"/>
  <c r="V2" i="10"/>
  <c r="W4" i="11"/>
  <c r="M52" i="9"/>
  <c r="M6" i="10" s="1"/>
  <c r="K70" i="9"/>
  <c r="K8" i="10"/>
  <c r="I4" i="10"/>
  <c r="H59" i="9"/>
  <c r="H3" i="11" s="1"/>
  <c r="G59" i="9"/>
  <c r="G3" i="11" s="1"/>
  <c r="U8" i="10"/>
  <c r="U70" i="9"/>
  <c r="Z59" i="9"/>
  <c r="Z3" i="11" s="1"/>
  <c r="Z53" i="9"/>
  <c r="Z7" i="10" s="1"/>
  <c r="T8" i="10"/>
  <c r="R59" i="9"/>
  <c r="R3" i="11" s="1"/>
  <c r="Z2" i="10"/>
  <c r="Z68" i="9"/>
  <c r="Z52" i="9"/>
  <c r="Z6" i="10" s="1"/>
  <c r="C52" i="9"/>
  <c r="C6" i="10" s="1"/>
  <c r="N63" i="9"/>
  <c r="N7" i="11" s="1"/>
  <c r="Z4" i="11"/>
  <c r="C4" i="10"/>
  <c r="H63" i="9"/>
  <c r="H7" i="11" s="1"/>
  <c r="H4" i="10"/>
  <c r="X59" i="9"/>
  <c r="X3" i="11" s="1"/>
  <c r="L62" i="9"/>
  <c r="L6" i="11" s="1"/>
  <c r="V4" i="11"/>
  <c r="W63" i="9"/>
  <c r="W7" i="11" s="1"/>
  <c r="O58" i="9"/>
  <c r="H49" i="9"/>
  <c r="H3" i="10" s="1"/>
  <c r="E63" i="9"/>
  <c r="E7" i="11" s="1"/>
  <c r="J2" i="11"/>
  <c r="T71" i="9"/>
  <c r="U2" i="10"/>
  <c r="S2" i="10"/>
  <c r="D2" i="10"/>
  <c r="G2" i="11"/>
  <c r="M70" i="9"/>
  <c r="M8" i="10"/>
  <c r="M4" i="10"/>
  <c r="V52" i="9"/>
  <c r="V6" i="10" s="1"/>
  <c r="J52" i="9"/>
  <c r="J6" i="10" s="1"/>
  <c r="Y4" i="10"/>
  <c r="V8" i="11"/>
  <c r="X49" i="9"/>
  <c r="X3" i="10" s="1"/>
  <c r="L52" i="9"/>
  <c r="L6" i="10" s="1"/>
  <c r="X2" i="10"/>
  <c r="X68" i="9"/>
  <c r="G8" i="11"/>
  <c r="V4" i="10"/>
  <c r="K52" i="9"/>
  <c r="K6" i="10" s="1"/>
  <c r="E49" i="9"/>
  <c r="E3" i="10" s="1"/>
  <c r="F63" i="9"/>
  <c r="F7" i="11" s="1"/>
  <c r="Y59" i="9"/>
  <c r="Y3" i="11" s="1"/>
  <c r="E4" i="10"/>
  <c r="J4" i="10"/>
  <c r="L4" i="11"/>
  <c r="S8" i="10"/>
  <c r="U4" i="10"/>
  <c r="R68" i="9"/>
  <c r="R2" i="10"/>
  <c r="H52" i="9"/>
  <c r="H6" i="10" s="1"/>
  <c r="F62" i="9"/>
  <c r="F6" i="11" s="1"/>
  <c r="P55" i="9"/>
  <c r="P9" i="10" s="1"/>
  <c r="P54" i="9"/>
  <c r="P53" i="9"/>
  <c r="P7" i="10" s="1"/>
  <c r="P59" i="9"/>
  <c r="P3" i="11" s="1"/>
  <c r="P48" i="9"/>
  <c r="N73" i="9"/>
  <c r="N8" i="11"/>
  <c r="N4" i="10"/>
  <c r="R2" i="11"/>
  <c r="S4" i="10"/>
  <c r="R4" i="10"/>
  <c r="B49" i="9"/>
  <c r="B3" i="10" s="1"/>
  <c r="C4" i="11"/>
  <c r="AB73" i="9"/>
  <c r="F73" i="9"/>
  <c r="T4" i="11"/>
  <c r="J8" i="10"/>
  <c r="AB2" i="10"/>
  <c r="X53" i="9"/>
  <c r="X7" i="10" s="1"/>
  <c r="I59" i="9"/>
  <c r="I3" i="11" s="1"/>
  <c r="T4" i="10"/>
  <c r="B53" i="9"/>
  <c r="B7" i="10" s="1"/>
  <c r="Q4" i="11"/>
  <c r="S8" i="11"/>
  <c r="N54" i="9"/>
  <c r="R53" i="9"/>
  <c r="R7" i="10" s="1"/>
  <c r="U59" i="9"/>
  <c r="U3" i="11" s="1"/>
  <c r="P62" i="9"/>
  <c r="P6" i="11" s="1"/>
  <c r="H2" i="11"/>
  <c r="C8" i="11"/>
  <c r="C73" i="9"/>
  <c r="B70" i="9"/>
  <c r="W71" i="9"/>
  <c r="W2" i="11"/>
  <c r="R52" i="9"/>
  <c r="R6" i="10" s="1"/>
  <c r="B62" i="9"/>
  <c r="B6" i="11" s="1"/>
  <c r="X62" i="9"/>
  <c r="X6" i="11" s="1"/>
  <c r="V62" i="9"/>
  <c r="V6" i="11" s="1"/>
  <c r="W62" i="9"/>
  <c r="W6" i="11" s="1"/>
  <c r="I52" i="9"/>
  <c r="I6" i="10" s="1"/>
  <c r="P61" i="9"/>
  <c r="P5" i="11" s="1"/>
  <c r="E8" i="10"/>
  <c r="B4" i="10"/>
  <c r="Z71" i="9"/>
  <c r="Z2" i="11"/>
  <c r="Q68" i="9"/>
  <c r="Q2" i="10"/>
  <c r="K69" i="9"/>
  <c r="K4" i="10"/>
  <c r="S49" i="9"/>
  <c r="S3" i="10" s="1"/>
  <c r="W2" i="10"/>
  <c r="E59" i="9"/>
  <c r="E3" i="11" s="1"/>
  <c r="O54" i="9"/>
  <c r="O53" i="9"/>
  <c r="O7" i="10" s="1"/>
  <c r="W49" i="9"/>
  <c r="W3" i="10" s="1"/>
  <c r="W59" i="9"/>
  <c r="W3" i="11" s="1"/>
  <c r="B2" i="10"/>
  <c r="B68" i="9"/>
  <c r="E2" i="11"/>
  <c r="W8" i="11"/>
  <c r="G2" i="10"/>
  <c r="G68" i="9"/>
  <c r="P51" i="9"/>
  <c r="P5" i="10" s="1"/>
  <c r="N58" i="9"/>
  <c r="G52" i="9"/>
  <c r="G6" i="10" s="1"/>
  <c r="E53" i="9"/>
  <c r="E7" i="10" s="1"/>
  <c r="V53" i="9"/>
  <c r="V7" i="10" s="1"/>
  <c r="AA71" i="9"/>
  <c r="AA2" i="11"/>
  <c r="P63" i="9"/>
  <c r="P7" i="11" s="1"/>
  <c r="S53" i="9"/>
  <c r="S7" i="10" s="1"/>
  <c r="W52" i="9"/>
  <c r="W6" i="10" s="1"/>
  <c r="E8" i="11"/>
  <c r="F71" i="9"/>
  <c r="F2" i="11"/>
  <c r="O59" i="9"/>
  <c r="O3" i="11" s="1"/>
  <c r="W73" i="9" l="1"/>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<sst xmlns="http://schemas.openxmlformats.org/spreadsheetml/2006/main" count="5677" uniqueCount="335">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</sst>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v>
      </c>
    </row>
    <row r="2" spans="1:2" x14ac:dyDescent="0.25">
      <c r="A2" s="3" t="s">
        <v>2</v>
      </c>
      <c r="B2" s="4" t="str">
        <f>IFERROR(INDEX(Geography!B:B, MATCH($B$1, Geography!C:C, 0)), "")</f>
        <v>AL</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2503170</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5157699</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0.97895929761415823</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2654529</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5157699</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1.0206866858245942</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3545537</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5157699</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0.91477255947287717</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1368358</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5157699</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1.942032901283397</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89421</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5157699</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0.26850257598414268</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154383</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5157699</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0.632211933665353</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311447</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5157699</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0.30944435698165851</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4846252</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5157699</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1.167426328394731</v>
      </c>
    </row>
    <row r="12" spans="1:28" x14ac:dyDescent="0.25">
      <c r="A12" s="4" t="s">
        <v>319</v>
      </c>
    </row>
    <row r="13" spans="1:28" x14ac:dyDescent="0.25">
      <c r="A13" s="4" t="s">
        <v>320</v>
      </c>
      <c r="B13" s="37">
        <f>INDEX(Census_pop_2020_2025!G:G, MATCH("."&amp;About!$B$1, Census_pop_2020_2025!A:A, 0))</f>
        <v>5163055</v>
      </c>
      <c r="C13" s="37">
        <f>INDEX(Census_pop_2020_2025!H:H, MATCH("."&amp;About!$B$1, Census_pop_2020_2025!A:A, 0))</f>
        <v>5193088</v>
      </c>
      <c r="D13" s="37">
        <f>INDEX(Census_pop_2020_2025!H:H, MATCH("."&amp;About!$B$1, Census_pop_2020_2025!A:A, 0))+0.2*(INDEX(Cooper_pop_2030_2050!D:D, MATCH(About!$B$1, Cooper_pop_2030_2050!B:B, 0))-INDEX(Census_pop_2020_2025!H:H, MATCH("."&amp;About!$B$1, Census_pop_2020_2025!A:A, 0)))</f>
        <v>5197258.7918799911</v>
      </c>
      <c r="E13" s="37">
        <f>INDEX(Census_pop_2020_2025!H:H, MATCH("."&amp;About!$B$1, Census_pop_2020_2025!A:A, 0))+0.4*(INDEX(Cooper_pop_2030_2050!D:D, MATCH(About!$B$1, Cooper_pop_2030_2050!B:B, 0))-INDEX(Census_pop_2020_2025!H:H, MATCH("."&amp;About!$B$1, Census_pop_2020_2025!A:A, 0)))</f>
        <v>5201429.5837599821</v>
      </c>
      <c r="F13" s="37">
        <f>INDEX(Census_pop_2020_2025!H:H, MATCH("."&amp;About!$B$1, Census_pop_2020_2025!A:A, 0))+0.6*(INDEX(Cooper_pop_2030_2050!D:D, MATCH(About!$B$1, Cooper_pop_2030_2050!B:B, 0))-INDEX(Census_pop_2020_2025!H:H, MATCH("."&amp;About!$B$1, Census_pop_2020_2025!A:A, 0)))</f>
        <v>5205600.3756399723</v>
      </c>
      <c r="G13" s="37">
        <f>INDEX(Census_pop_2020_2025!H:H, MATCH("."&amp;About!$B$1, Census_pop_2020_2025!A:A, 0))+0.8*(INDEX(Cooper_pop_2030_2050!D:D, MATCH(About!$B$1, Cooper_pop_2030_2050!B:B, 0))-INDEX(Census_pop_2020_2025!H:H, MATCH("."&amp;About!$B$1, Census_pop_2020_2025!A:A, 0)))</f>
        <v>5209771.1675199633</v>
      </c>
      <c r="H13" s="37">
        <f>INDEX(Cooper_pop_2030_2050!D:D, MATCH(About!$B$1, Cooper_pop_2030_2050!B:B, 0))</f>
        <v>5213941.9593999544</v>
      </c>
      <c r="I13" s="37">
        <f>INDEX(Cooper_pop_2030_2050!D:D, MATCH(About!$B$1, Cooper_pop_2030_2050!B:B, 0))+0.1*(INDEX(Cooper_pop_2030_2050!E:E, MATCH(About!$B$1, Cooper_pop_2030_2050!B:B, 0))-INDEX(Cooper_pop_2030_2050!D:D, MATCH(About!$B$1, Cooper_pop_2030_2050!B:B, 0)))</f>
        <v>5219488.9628647845</v>
      </c>
      <c r="J13" s="37">
        <f>INDEX(Cooper_pop_2030_2050!D:D, MATCH(About!$B$1, Cooper_pop_2030_2050!B:B, 0))+0.2*(INDEX(Cooper_pop_2030_2050!E:E, MATCH(About!$B$1, Cooper_pop_2030_2050!B:B, 0))-INDEX(Cooper_pop_2030_2050!D:D, MATCH(About!$B$1, Cooper_pop_2030_2050!B:B, 0)))</f>
        <v>5225035.9663296146</v>
      </c>
      <c r="K13" s="37">
        <f>INDEX(Cooper_pop_2030_2050!D:D, MATCH(About!$B$1, Cooper_pop_2030_2050!B:B, 0))+0.3*(INDEX(Cooper_pop_2030_2050!E:E, MATCH(About!$B$1, Cooper_pop_2030_2050!B:B, 0))-INDEX(Cooper_pop_2030_2050!D:D, MATCH(About!$B$1, Cooper_pop_2030_2050!B:B, 0)))</f>
        <v>5230582.9697944447</v>
      </c>
      <c r="L13" s="37">
        <f>INDEX(Cooper_pop_2030_2050!D:D, MATCH(About!$B$1, Cooper_pop_2030_2050!B:B, 0))+0.4*(INDEX(Cooper_pop_2030_2050!E:E, MATCH(About!$B$1, Cooper_pop_2030_2050!B:B, 0))-INDEX(Cooper_pop_2030_2050!D:D, MATCH(About!$B$1, Cooper_pop_2030_2050!B:B, 0)))</f>
        <v>5236129.9732592748</v>
      </c>
      <c r="M13" s="37">
        <f>INDEX(Cooper_pop_2030_2050!D:D, MATCH(About!$B$1, Cooper_pop_2030_2050!B:B, 0))+0.5*(INDEX(Cooper_pop_2030_2050!E:E, MATCH(About!$B$1, Cooper_pop_2030_2050!B:B, 0))-INDEX(Cooper_pop_2030_2050!D:D, MATCH(About!$B$1, Cooper_pop_2030_2050!B:B, 0)))</f>
        <v>5241676.976724105</v>
      </c>
      <c r="N13" s="37">
        <f>INDEX(Cooper_pop_2030_2050!D:D, MATCH(About!$B$1, Cooper_pop_2030_2050!B:B, 0))+0.6*(INDEX(Cooper_pop_2030_2050!E:E, MATCH(About!$B$1, Cooper_pop_2030_2050!B:B, 0))-INDEX(Cooper_pop_2030_2050!D:D, MATCH(About!$B$1, Cooper_pop_2030_2050!B:B, 0)))</f>
        <v>5247223.9801889341</v>
      </c>
      <c r="O13" s="37">
        <f>INDEX(Cooper_pop_2030_2050!D:D, MATCH(About!$B$1, Cooper_pop_2030_2050!B:B, 0))+0.7*(INDEX(Cooper_pop_2030_2050!E:E, MATCH(About!$B$1, Cooper_pop_2030_2050!B:B, 0))-INDEX(Cooper_pop_2030_2050!D:D, MATCH(About!$B$1, Cooper_pop_2030_2050!B:B, 0)))</f>
        <v>5252770.9836537642</v>
      </c>
      <c r="P13" s="37">
        <f>INDEX(Cooper_pop_2030_2050!D:D, MATCH(About!$B$1, Cooper_pop_2030_2050!B:B, 0))+0.8*(INDEX(Cooper_pop_2030_2050!E:E, MATCH(About!$B$1, Cooper_pop_2030_2050!B:B, 0))-INDEX(Cooper_pop_2030_2050!D:D, MATCH(About!$B$1, Cooper_pop_2030_2050!B:B, 0)))</f>
        <v>5258317.9871185943</v>
      </c>
      <c r="Q13" s="37">
        <f>INDEX(Cooper_pop_2030_2050!D:D, MATCH(About!$B$1, Cooper_pop_2030_2050!B:B, 0))+0.9*(INDEX(Cooper_pop_2030_2050!E:E, MATCH(About!$B$1, Cooper_pop_2030_2050!B:B, 0))-INDEX(Cooper_pop_2030_2050!D:D, MATCH(About!$B$1, Cooper_pop_2030_2050!B:B, 0)))</f>
        <v>5263864.9905834245</v>
      </c>
      <c r="R13" s="37">
        <f>INDEX(Cooper_pop_2030_2050!E:E, MATCH(About!$B$1, Cooper_pop_2030_2050!B:B, 0))</f>
        <v>5269411.9940482546</v>
      </c>
      <c r="S13" s="37">
        <f>INDEX(Cooper_pop_2030_2050!E:E, MATCH(About!$B$1, Cooper_pop_2030_2050!B:B, 0))+0.1*(INDEX(Cooper_pop_2030_2050!F:F, MATCH(About!$B$1, Cooper_pop_2030_2050!B:B, 0))-INDEX(Cooper_pop_2030_2050!E:E, MATCH(About!$B$1, Cooper_pop_2030_2050!B:B, 0)))</f>
        <v>5268777.6774073839</v>
      </c>
      <c r="T13" s="37">
        <f>INDEX(Cooper_pop_2030_2050!E:E, MATCH(About!$B$1, Cooper_pop_2030_2050!B:B, 0))+0.2*(INDEX(Cooper_pop_2030_2050!F:F, MATCH(About!$B$1, Cooper_pop_2030_2050!B:B, 0))-INDEX(Cooper_pop_2030_2050!E:E, MATCH(About!$B$1, Cooper_pop_2030_2050!B:B, 0)))</f>
        <v>5268143.3607665142</v>
      </c>
      <c r="U13" s="37">
        <f>INDEX(Cooper_pop_2030_2050!E:E, MATCH(About!$B$1, Cooper_pop_2030_2050!B:B, 0))+0.3*(INDEX(Cooper_pop_2030_2050!F:F, MATCH(About!$B$1, Cooper_pop_2030_2050!B:B, 0))-INDEX(Cooper_pop_2030_2050!E:E, MATCH(About!$B$1, Cooper_pop_2030_2050!B:B, 0)))</f>
        <v>5267509.0441256436</v>
      </c>
      <c r="V13" s="37">
        <f>INDEX(Cooper_pop_2030_2050!E:E, MATCH(About!$B$1, Cooper_pop_2030_2050!B:B, 0))+0.4*(INDEX(Cooper_pop_2030_2050!F:F, MATCH(About!$B$1, Cooper_pop_2030_2050!B:B, 0))-INDEX(Cooper_pop_2030_2050!E:E, MATCH(About!$B$1, Cooper_pop_2030_2050!B:B, 0)))</f>
        <v>5266874.7274847738</v>
      </c>
      <c r="W13" s="37">
        <f>INDEX(Cooper_pop_2030_2050!E:E, MATCH(About!$B$1, Cooper_pop_2030_2050!B:B, 0))+0.5*(INDEX(Cooper_pop_2030_2050!F:F, MATCH(About!$B$1, Cooper_pop_2030_2050!B:B, 0))-INDEX(Cooper_pop_2030_2050!E:E, MATCH(About!$B$1, Cooper_pop_2030_2050!B:B, 0)))</f>
        <v>5266240.4108439032</v>
      </c>
      <c r="X13" s="37">
        <f>INDEX(Cooper_pop_2030_2050!E:E, MATCH(About!$B$1, Cooper_pop_2030_2050!B:B, 0))+0.6*(INDEX(Cooper_pop_2030_2050!F:F, MATCH(About!$B$1, Cooper_pop_2030_2050!B:B, 0))-INDEX(Cooper_pop_2030_2050!E:E, MATCH(About!$B$1, Cooper_pop_2030_2050!B:B, 0)))</f>
        <v>5265606.0942030326</v>
      </c>
      <c r="Y13" s="37">
        <f>INDEX(Cooper_pop_2030_2050!E:E, MATCH(About!$B$1, Cooper_pop_2030_2050!B:B, 0))+0.7*(INDEX(Cooper_pop_2030_2050!F:F, MATCH(About!$B$1, Cooper_pop_2030_2050!B:B, 0))-INDEX(Cooper_pop_2030_2050!E:E, MATCH(About!$B$1, Cooper_pop_2030_2050!B:B, 0)))</f>
        <v>5264971.7775621628</v>
      </c>
      <c r="Z13" s="37">
        <f>INDEX(Cooper_pop_2030_2050!E:E, MATCH(About!$B$1, Cooper_pop_2030_2050!B:B, 0))+0.8*(INDEX(Cooper_pop_2030_2050!F:F, MATCH(About!$B$1, Cooper_pop_2030_2050!B:B, 0))-INDEX(Cooper_pop_2030_2050!E:E, MATCH(About!$B$1, Cooper_pop_2030_2050!B:B, 0)))</f>
        <v>5264337.4609212922</v>
      </c>
      <c r="AA13" s="37">
        <f>INDEX(Cooper_pop_2030_2050!E:E, MATCH(About!$B$1, Cooper_pop_2030_2050!B:B, 0))+0.9*(INDEX(Cooper_pop_2030_2050!F:F, MATCH(About!$B$1, Cooper_pop_2030_2050!B:B, 0))-INDEX(Cooper_pop_2030_2050!E:E, MATCH(About!$B$1, Cooper_pop_2030_2050!B:B, 0)))</f>
        <v>5263703.1442804225</v>
      </c>
      <c r="AB13" s="37">
        <f>INDEX(Cooper_pop_2030_2050!F:F, MATCH(About!$B$1, Cooper_pop_2030_2050!B:B, 0))</f>
        <v>5263068.8276395518</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1.5344215804030364E-2</v>
      </c>
      <c r="C15" s="39">
        <f t="shared" si="1"/>
        <v>1.5363426645107033E-2</v>
      </c>
      <c r="D15" s="39">
        <f t="shared" si="1"/>
        <v>1.5307979673888498E-2</v>
      </c>
      <c r="E15" s="39">
        <f t="shared" si="1"/>
        <v>1.525477906381666E-2</v>
      </c>
      <c r="F15" s="39">
        <f t="shared" si="1"/>
        <v>1.5203948088030713E-2</v>
      </c>
      <c r="G15" s="39">
        <f t="shared" si="1"/>
        <v>1.515553080117148E-2</v>
      </c>
      <c r="H15" s="39">
        <f t="shared" si="1"/>
        <v>1.510965338477885E-2</v>
      </c>
      <c r="I15" s="39">
        <f t="shared" si="1"/>
        <v>1.5070451159891547E-2</v>
      </c>
      <c r="J15" s="39">
        <f t="shared" si="1"/>
        <v>1.50341236184825E-2</v>
      </c>
      <c r="K15" s="39">
        <f t="shared" si="1"/>
        <v>1.5000159992843527E-2</v>
      </c>
      <c r="L15" s="39">
        <f t="shared" si="1"/>
        <v>1.4968597794145062E-2</v>
      </c>
      <c r="M15" s="39">
        <f t="shared" si="1"/>
        <v>1.4939465263477624E-2</v>
      </c>
      <c r="N15" s="39">
        <f t="shared" si="1"/>
        <v>1.4912777532333723E-2</v>
      </c>
      <c r="O15" s="39">
        <f t="shared" si="1"/>
        <v>1.4888551452900025E-2</v>
      </c>
      <c r="P15" s="39">
        <f t="shared" si="1"/>
        <v>1.4866786261905466E-2</v>
      </c>
      <c r="Q15" s="39">
        <f t="shared" si="1"/>
        <v>1.4847452043998744E-2</v>
      </c>
      <c r="R15" s="39">
        <f t="shared" si="1"/>
        <v>1.4830502673889738E-2</v>
      </c>
      <c r="S15" s="39">
        <f t="shared" si="1"/>
        <v>1.4798542949104612E-2</v>
      </c>
      <c r="T15" s="39">
        <f t="shared" si="1"/>
        <v>1.4768890080877277E-2</v>
      </c>
      <c r="U15" s="39">
        <f t="shared" si="1"/>
        <v>1.4741407771844458E-2</v>
      </c>
      <c r="V15" s="39">
        <f t="shared" si="1"/>
        <v>1.4715911655995008E-2</v>
      </c>
      <c r="W15" s="39">
        <f t="shared" si="1"/>
        <v>1.4692194487005157E-2</v>
      </c>
      <c r="X15" s="39">
        <f t="shared" si="1"/>
        <v>1.4670044252306195E-2</v>
      </c>
      <c r="Y15" s="39">
        <f t="shared" si="1"/>
        <v>1.4649323919120449E-2</v>
      </c>
      <c r="Z15" s="39">
        <f t="shared" si="1"/>
        <v>1.4629833947109065E-2</v>
      </c>
      <c r="AA15" s="39">
        <f t="shared" si="1"/>
        <v>1.4611372679031797E-2</v>
      </c>
      <c r="AB15" s="39">
        <f t="shared" si="1"/>
        <v>1.4593742522508833E-2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141.36604461394961</v>
      </c>
      <c r="C48" s="37">
        <f t="shared" si="10"/>
        <v>140.47518179849544</v>
      </c>
      <c r="D48" s="37">
        <f t="shared" si="10"/>
        <v>138.88921952486564</v>
      </c>
      <c r="E48" s="37">
        <f t="shared" si="10"/>
        <v>137.33129650648246</v>
      </c>
      <c r="F48" s="37">
        <f t="shared" si="10"/>
        <v>135.77227072461494</v>
      </c>
      <c r="G48" s="37">
        <f t="shared" si="10"/>
        <v>134.21231589101305</v>
      </c>
      <c r="H48" s="37">
        <f t="shared" si="10"/>
        <v>132.65228544153624</v>
      </c>
      <c r="I48" s="37">
        <f t="shared" si="10"/>
        <v>131.20161520374603</v>
      </c>
      <c r="J48" s="37">
        <f t="shared" si="10"/>
        <v>129.67849260666341</v>
      </c>
      <c r="K48" s="37">
        <f t="shared" si="10"/>
        <v>128.19608737175946</v>
      </c>
      <c r="L48" s="37">
        <f t="shared" si="10"/>
        <v>126.65147951555726</v>
      </c>
      <c r="M48" s="37">
        <f t="shared" si="10"/>
        <v>125.14722389905465</v>
      </c>
      <c r="N48" s="37">
        <f t="shared" si="10"/>
        <v>123.69734579760147</v>
      </c>
      <c r="O48" s="37">
        <f t="shared" si="10"/>
        <v>122.09716975664047</v>
      </c>
      <c r="P48" s="37">
        <f t="shared" si="10"/>
        <v>120.56515902671102</v>
      </c>
      <c r="Q48" s="37">
        <f t="shared" si="10"/>
        <v>118.96939427132855</v>
      </c>
      <c r="R48" s="37">
        <f t="shared" si="10"/>
        <v>117.3817368180441</v>
      </c>
      <c r="S48" s="37">
        <f t="shared" si="10"/>
        <v>115.63660060754621</v>
      </c>
      <c r="T48" s="37">
        <f t="shared" si="10"/>
        <v>113.91570286745655</v>
      </c>
      <c r="U48" s="37">
        <f t="shared" si="10"/>
        <v>112.21730822896015</v>
      </c>
      <c r="V48" s="37">
        <f t="shared" si="10"/>
        <v>110.53937522594792</v>
      </c>
      <c r="W48" s="37">
        <f t="shared" si="10"/>
        <v>108.89415025364288</v>
      </c>
      <c r="X48" s="37">
        <f t="shared" si="10"/>
        <v>107.38000997605144</v>
      </c>
      <c r="Y48" s="37">
        <f t="shared" si="10"/>
        <v>105.88028116092033</v>
      </c>
      <c r="Z48" s="37">
        <f t="shared" si="10"/>
        <v>104.46475527324726</v>
      </c>
      <c r="AA48" s="37">
        <f t="shared" si="10"/>
        <v>103.07418540712469</v>
      </c>
      <c r="AB48" s="37">
        <f t="shared" si="10"/>
        <v>101.6925877374487</v>
      </c>
    </row>
    <row r="49" spans="1:28" x14ac:dyDescent="0.25">
      <c r="A49" s="4" t="s">
        <v>216</v>
      </c>
      <c r="B49" s="37">
        <f t="shared" ref="B49:AB49" si="11">B29*B15*$F$5</f>
        <v>117.52492236405072</v>
      </c>
      <c r="C49" s="37">
        <f t="shared" si="11"/>
        <v>117.02913162384048</v>
      </c>
      <c r="D49" s="37">
        <f t="shared" si="11"/>
        <v>115.96616001896538</v>
      </c>
      <c r="E49" s="37">
        <f t="shared" si="11"/>
        <v>114.90918215597473</v>
      </c>
      <c r="F49" s="37">
        <f t="shared" si="11"/>
        <v>113.84347673945025</v>
      </c>
      <c r="G49" s="37">
        <f t="shared" si="11"/>
        <v>112.80030170108712</v>
      </c>
      <c r="H49" s="37">
        <f t="shared" si="11"/>
        <v>111.76484310408327</v>
      </c>
      <c r="I49" s="37">
        <f t="shared" si="11"/>
        <v>110.70575708100721</v>
      </c>
      <c r="J49" s="37">
        <f t="shared" si="11"/>
        <v>109.71767814454704</v>
      </c>
      <c r="K49" s="37">
        <f t="shared" si="11"/>
        <v>108.65836009776251</v>
      </c>
      <c r="L49" s="37">
        <f t="shared" si="11"/>
        <v>107.65053874743236</v>
      </c>
      <c r="M49" s="37">
        <f t="shared" si="11"/>
        <v>106.57185936822889</v>
      </c>
      <c r="N49" s="37">
        <f t="shared" si="11"/>
        <v>105.43776136767829</v>
      </c>
      <c r="O49" s="37">
        <f t="shared" si="11"/>
        <v>104.40027266323168</v>
      </c>
      <c r="P49" s="37">
        <f t="shared" si="11"/>
        <v>103.23097242237849</v>
      </c>
      <c r="Q49" s="37">
        <f t="shared" si="11"/>
        <v>102.11167202373181</v>
      </c>
      <c r="R49" s="37">
        <f t="shared" si="11"/>
        <v>100.9354938843331</v>
      </c>
      <c r="S49" s="37">
        <f t="shared" si="11"/>
        <v>99.660650649664206</v>
      </c>
      <c r="T49" s="37">
        <f t="shared" si="11"/>
        <v>98.375596200948195</v>
      </c>
      <c r="U49" s="37">
        <f t="shared" si="11"/>
        <v>97.109198682133922</v>
      </c>
      <c r="V49" s="37">
        <f t="shared" si="11"/>
        <v>95.88981925953567</v>
      </c>
      <c r="W49" s="37">
        <f t="shared" si="11"/>
        <v>94.700543889595977</v>
      </c>
      <c r="X49" s="37">
        <f t="shared" si="11"/>
        <v>93.509625210671985</v>
      </c>
      <c r="Y49" s="37">
        <f t="shared" si="11"/>
        <v>92.390693492091501</v>
      </c>
      <c r="Z49" s="37">
        <f t="shared" si="11"/>
        <v>91.267297747104919</v>
      </c>
      <c r="AA49" s="37">
        <f t="shared" si="11"/>
        <v>90.197655741299158</v>
      </c>
      <c r="AB49" s="37">
        <f t="shared" si="11"/>
        <v>89.224875747571204</v>
      </c>
    </row>
    <row r="50" spans="1:28" x14ac:dyDescent="0.25">
      <c r="A50" s="4" t="s">
        <v>217</v>
      </c>
      <c r="B50" s="37">
        <f t="shared" ref="B50:AB50" si="12">B30*B15*$F$6</f>
        <v>138.37149724745998</v>
      </c>
      <c r="C50" s="37">
        <f t="shared" si="12"/>
        <v>137.63122463349899</v>
      </c>
      <c r="D50" s="37">
        <f t="shared" si="12"/>
        <v>136.23829781507769</v>
      </c>
      <c r="E50" s="37">
        <f t="shared" si="12"/>
        <v>134.8438147258172</v>
      </c>
      <c r="F50" s="37">
        <f t="shared" si="12"/>
        <v>133.46265064514756</v>
      </c>
      <c r="G50" s="37">
        <f t="shared" si="12"/>
        <v>132.10875720833133</v>
      </c>
      <c r="H50" s="37">
        <f t="shared" si="12"/>
        <v>130.72749520106987</v>
      </c>
      <c r="I50" s="37">
        <f t="shared" si="12"/>
        <v>129.42329826932348</v>
      </c>
      <c r="J50" s="37">
        <f t="shared" si="12"/>
        <v>128.07986124841594</v>
      </c>
      <c r="K50" s="37">
        <f t="shared" si="12"/>
        <v>126.70649867370769</v>
      </c>
      <c r="L50" s="37">
        <f t="shared" si="12"/>
        <v>125.28969202021179</v>
      </c>
      <c r="M50" s="37">
        <f t="shared" si="12"/>
        <v>123.82955487149799</v>
      </c>
      <c r="N50" s="37">
        <f t="shared" si="12"/>
        <v>122.32601765974344</v>
      </c>
      <c r="O50" s="37">
        <f t="shared" si="12"/>
        <v>120.73809370159607</v>
      </c>
      <c r="P50" s="37">
        <f t="shared" si="12"/>
        <v>119.12001860254982</v>
      </c>
      <c r="Q50" s="37">
        <f t="shared" si="12"/>
        <v>117.45749669026108</v>
      </c>
      <c r="R50" s="37">
        <f t="shared" si="12"/>
        <v>115.74969273919588</v>
      </c>
      <c r="S50" s="37">
        <f t="shared" si="12"/>
        <v>113.88931339731278</v>
      </c>
      <c r="T50" s="37">
        <f t="shared" si="12"/>
        <v>112.05339460053972</v>
      </c>
      <c r="U50" s="37">
        <f t="shared" si="12"/>
        <v>110.24016372206276</v>
      </c>
      <c r="V50" s="37">
        <f t="shared" si="12"/>
        <v>108.46101495797069</v>
      </c>
      <c r="W50" s="37">
        <f t="shared" si="12"/>
        <v>106.74060989260927</v>
      </c>
      <c r="X50" s="37">
        <f t="shared" si="12"/>
        <v>105.0900930122237</v>
      </c>
      <c r="Y50" s="37">
        <f t="shared" si="12"/>
        <v>103.48097401730901</v>
      </c>
      <c r="Z50" s="37">
        <f t="shared" si="12"/>
        <v>101.92470442820846</v>
      </c>
      <c r="AA50" s="37">
        <f t="shared" si="12"/>
        <v>100.44611211432006</v>
      </c>
      <c r="AB50" s="37">
        <f t="shared" si="12"/>
        <v>99.01661771545966</v>
      </c>
    </row>
    <row r="51" spans="1:28" x14ac:dyDescent="0.25">
      <c r="A51" s="4" t="s">
        <v>218</v>
      </c>
      <c r="B51" s="37">
        <f t="shared" ref="B51:AB51" si="13">B31*B15*$F$7</f>
        <v>139.39959071576428</v>
      </c>
      <c r="C51" s="37">
        <f t="shared" si="13"/>
        <v>137.69443229807734</v>
      </c>
      <c r="D51" s="37">
        <f t="shared" si="13"/>
        <v>135.35431661439034</v>
      </c>
      <c r="E51" s="37">
        <f t="shared" si="13"/>
        <v>132.98789468555375</v>
      </c>
      <c r="F51" s="37">
        <f t="shared" si="13"/>
        <v>130.59600768256223</v>
      </c>
      <c r="G51" s="37">
        <f t="shared" si="13"/>
        <v>128.23757439362291</v>
      </c>
      <c r="H51" s="37">
        <f t="shared" si="13"/>
        <v>125.82468787298012</v>
      </c>
      <c r="I51" s="37">
        <f t="shared" si="13"/>
        <v>123.50805659650833</v>
      </c>
      <c r="J51" s="37">
        <f t="shared" si="13"/>
        <v>121.22495876799559</v>
      </c>
      <c r="K51" s="37">
        <f t="shared" si="13"/>
        <v>118.97020447784006</v>
      </c>
      <c r="L51" s="37">
        <f t="shared" si="13"/>
        <v>116.80128877847271</v>
      </c>
      <c r="M51" s="37">
        <f t="shared" si="13"/>
        <v>114.74615028889949</v>
      </c>
      <c r="N51" s="37">
        <f t="shared" si="13"/>
        <v>112.71661917057797</v>
      </c>
      <c r="O51" s="37">
        <f t="shared" si="13"/>
        <v>110.7986655579012</v>
      </c>
      <c r="P51" s="37">
        <f t="shared" si="13"/>
        <v>108.90438455088488</v>
      </c>
      <c r="Q51" s="37">
        <f t="shared" si="13"/>
        <v>107.09036873296546</v>
      </c>
      <c r="R51" s="37">
        <f t="shared" si="13"/>
        <v>105.32644236266506</v>
      </c>
      <c r="S51" s="37">
        <f t="shared" si="13"/>
        <v>103.46132627357972</v>
      </c>
      <c r="T51" s="37">
        <f t="shared" si="13"/>
        <v>101.64784008366595</v>
      </c>
      <c r="U51" s="37">
        <f t="shared" si="13"/>
        <v>99.855506577698605</v>
      </c>
      <c r="V51" s="37">
        <f t="shared" si="13"/>
        <v>98.139546344978243</v>
      </c>
      <c r="W51" s="37">
        <f t="shared" si="13"/>
        <v>96.412078064980889</v>
      </c>
      <c r="X51" s="37">
        <f t="shared" si="13"/>
        <v>94.756770807797494</v>
      </c>
      <c r="Y51" s="37">
        <f t="shared" si="13"/>
        <v>93.200460550436404</v>
      </c>
      <c r="Z51" s="37">
        <f t="shared" si="13"/>
        <v>91.655882460420912</v>
      </c>
      <c r="AA51" s="37">
        <f t="shared" si="13"/>
        <v>90.178185859434819</v>
      </c>
      <c r="AB51" s="37">
        <f t="shared" si="13"/>
        <v>88.708983051816318</v>
      </c>
    </row>
    <row r="52" spans="1:28" x14ac:dyDescent="0.25">
      <c r="A52" s="4" t="s">
        <v>219</v>
      </c>
      <c r="B52" s="37">
        <f t="shared" ref="B52:AB52" si="14">B32*B15*$F$8</f>
        <v>3.54728682553116</v>
      </c>
      <c r="C52" s="37">
        <f t="shared" si="14"/>
        <v>3.5641033604536205</v>
      </c>
      <c r="D52" s="37">
        <f t="shared" si="14"/>
        <v>3.5635711228035474</v>
      </c>
      <c r="E52" s="37">
        <f t="shared" si="14"/>
        <v>3.5675702504669591</v>
      </c>
      <c r="F52" s="37">
        <f t="shared" si="14"/>
        <v>3.5720118234197491</v>
      </c>
      <c r="G52" s="37">
        <f t="shared" si="14"/>
        <v>3.5769138741984512</v>
      </c>
      <c r="H52" s="37">
        <f t="shared" si="14"/>
        <v>3.5823140958838864</v>
      </c>
      <c r="I52" s="37">
        <f t="shared" si="14"/>
        <v>3.5892055474569191</v>
      </c>
      <c r="J52" s="37">
        <f t="shared" si="14"/>
        <v>3.5967005190308927</v>
      </c>
      <c r="K52" s="37">
        <f t="shared" si="14"/>
        <v>3.6127406936327313</v>
      </c>
      <c r="L52" s="37">
        <f t="shared" si="14"/>
        <v>3.621215467005253</v>
      </c>
      <c r="M52" s="37">
        <f t="shared" si="14"/>
        <v>3.6302128408977716</v>
      </c>
      <c r="N52" s="37">
        <f t="shared" si="14"/>
        <v>3.6397443369016362</v>
      </c>
      <c r="O52" s="37">
        <f t="shared" si="14"/>
        <v>3.6498219634295856</v>
      </c>
      <c r="P52" s="37">
        <f t="shared" si="14"/>
        <v>3.656461693661389</v>
      </c>
      <c r="Q52" s="37">
        <f t="shared" si="14"/>
        <v>3.6676527909655121</v>
      </c>
      <c r="R52" s="37">
        <f t="shared" si="14"/>
        <v>3.6714299737349396</v>
      </c>
      <c r="S52" s="37">
        <f t="shared" si="14"/>
        <v>3.6754383849480678</v>
      </c>
      <c r="T52" s="37">
        <f t="shared" si="14"/>
        <v>3.683935593931106</v>
      </c>
      <c r="U52" s="37">
        <f t="shared" si="14"/>
        <v>3.684996649107168</v>
      </c>
      <c r="V52" s="37">
        <f t="shared" si="14"/>
        <v>3.6904770152088084</v>
      </c>
      <c r="W52" s="37">
        <f t="shared" si="14"/>
        <v>3.6963638664237872</v>
      </c>
      <c r="X52" s="37">
        <f t="shared" si="14"/>
        <v>3.6986690465812995</v>
      </c>
      <c r="Y52" s="37">
        <f t="shared" si="14"/>
        <v>3.7091784798134895</v>
      </c>
      <c r="Z52" s="37">
        <f t="shared" si="14"/>
        <v>3.7120999554629943</v>
      </c>
      <c r="AA52" s="37">
        <f t="shared" si="14"/>
        <v>3.7152620692261906</v>
      </c>
      <c r="AB52" s="37">
        <f t="shared" si="14"/>
        <v>3.7186161300552518</v>
      </c>
    </row>
    <row r="53" spans="1:28" x14ac:dyDescent="0.25">
      <c r="A53" s="4" t="s">
        <v>220</v>
      </c>
      <c r="B53" s="37">
        <f t="shared" ref="B53:AB53" si="15">B33*B15*$F$9</f>
        <v>14.725808850259559</v>
      </c>
      <c r="C53" s="37">
        <f t="shared" si="15"/>
        <v>14.870513692221284</v>
      </c>
      <c r="D53" s="37">
        <f t="shared" si="15"/>
        <v>14.913624529844148</v>
      </c>
      <c r="E53" s="37">
        <f t="shared" si="15"/>
        <v>14.977525482947293</v>
      </c>
      <c r="F53" s="37">
        <f t="shared" si="15"/>
        <v>15.033351645007535</v>
      </c>
      <c r="G53" s="37">
        <f t="shared" si="15"/>
        <v>15.071711192948097</v>
      </c>
      <c r="H53" s="37">
        <f t="shared" si="15"/>
        <v>15.150270048879191</v>
      </c>
      <c r="I53" s="37">
        <f t="shared" si="15"/>
        <v>15.196711915061853</v>
      </c>
      <c r="J53" s="37">
        <f t="shared" si="15"/>
        <v>15.255127543906664</v>
      </c>
      <c r="K53" s="37">
        <f t="shared" si="15"/>
        <v>15.287047608836822</v>
      </c>
      <c r="L53" s="37">
        <f t="shared" si="15"/>
        <v>15.330588372226527</v>
      </c>
      <c r="M53" s="37">
        <f t="shared" si="15"/>
        <v>15.347975860993037</v>
      </c>
      <c r="N53" s="37">
        <f t="shared" si="15"/>
        <v>15.386554621501908</v>
      </c>
      <c r="O53" s="37">
        <f t="shared" si="15"/>
        <v>15.40862248205246</v>
      </c>
      <c r="P53" s="37">
        <f t="shared" si="15"/>
        <v>15.414293891647166</v>
      </c>
      <c r="Q53" s="37">
        <f t="shared" si="15"/>
        <v>15.403634377820413</v>
      </c>
      <c r="R53" s="37">
        <f t="shared" si="15"/>
        <v>15.39542610875537</v>
      </c>
      <c r="S53" s="37">
        <f t="shared" si="15"/>
        <v>15.362248974291019</v>
      </c>
      <c r="T53" s="37">
        <f t="shared" si="15"/>
        <v>15.294118294928612</v>
      </c>
      <c r="U53" s="37">
        <f t="shared" si="15"/>
        <v>15.247019240665537</v>
      </c>
      <c r="V53" s="37">
        <f t="shared" si="15"/>
        <v>15.183434340734101</v>
      </c>
      <c r="W53" s="37">
        <f t="shared" si="15"/>
        <v>15.121809357486827</v>
      </c>
      <c r="X53" s="37">
        <f t="shared" si="15"/>
        <v>15.080462273067251</v>
      </c>
      <c r="Y53" s="37">
        <f t="shared" si="15"/>
        <v>15.012854868313337</v>
      </c>
      <c r="Z53" s="37">
        <f t="shared" si="15"/>
        <v>14.974382930816944</v>
      </c>
      <c r="AA53" s="37">
        <f t="shared" si="15"/>
        <v>14.909299458314102</v>
      </c>
      <c r="AB53" s="37">
        <f t="shared" si="15"/>
        <v>14.872857145466188</v>
      </c>
    </row>
    <row r="54" spans="1:28" x14ac:dyDescent="0.25">
      <c r="A54" s="4" t="s">
        <v>221</v>
      </c>
      <c r="B54" s="37">
        <f t="shared" ref="B54:AB54" si="16">B34*B15*$F$10</f>
        <v>18.237763193598223</v>
      </c>
      <c r="C54" s="37">
        <f t="shared" si="16"/>
        <v>18.336662744790207</v>
      </c>
      <c r="D54" s="37">
        <f t="shared" si="16"/>
        <v>18.355750716639559</v>
      </c>
      <c r="E54" s="37">
        <f t="shared" si="16"/>
        <v>18.38164763158025</v>
      </c>
      <c r="F54" s="37">
        <f t="shared" si="16"/>
        <v>18.423902579799336</v>
      </c>
      <c r="G54" s="37">
        <f t="shared" si="16"/>
        <v>18.449647564026954</v>
      </c>
      <c r="H54" s="37">
        <f t="shared" si="16"/>
        <v>18.47328365165696</v>
      </c>
      <c r="I54" s="37">
        <f t="shared" si="16"/>
        <v>18.499969894120845</v>
      </c>
      <c r="J54" s="37">
        <f t="shared" si="16"/>
        <v>18.520506594014151</v>
      </c>
      <c r="K54" s="37">
        <f t="shared" si="16"/>
        <v>18.534367450384604</v>
      </c>
      <c r="L54" s="37">
        <f t="shared" si="16"/>
        <v>18.537056373543816</v>
      </c>
      <c r="M54" s="37">
        <f t="shared" si="16"/>
        <v>18.528716354203482</v>
      </c>
      <c r="N54" s="37">
        <f t="shared" si="16"/>
        <v>18.509460840611471</v>
      </c>
      <c r="O54" s="37">
        <f t="shared" si="16"/>
        <v>18.479391883461982</v>
      </c>
      <c r="P54" s="37">
        <f t="shared" si="16"/>
        <v>18.424774676372362</v>
      </c>
      <c r="Q54" s="37">
        <f t="shared" si="16"/>
        <v>18.359463161282527</v>
      </c>
      <c r="R54" s="37">
        <f t="shared" si="16"/>
        <v>18.269666362637214</v>
      </c>
      <c r="S54" s="37">
        <f t="shared" si="16"/>
        <v>18.161605357961395</v>
      </c>
      <c r="T54" s="37">
        <f t="shared" si="16"/>
        <v>18.038380843835732</v>
      </c>
      <c r="U54" s="37">
        <f t="shared" si="16"/>
        <v>17.899896741730153</v>
      </c>
      <c r="V54" s="37">
        <f t="shared" si="16"/>
        <v>17.764201452994037</v>
      </c>
      <c r="W54" s="37">
        <f t="shared" si="16"/>
        <v>17.608271784911658</v>
      </c>
      <c r="X54" s="37">
        <f t="shared" si="16"/>
        <v>17.477315280607357</v>
      </c>
      <c r="Y54" s="37">
        <f t="shared" si="16"/>
        <v>17.343834273528952</v>
      </c>
      <c r="Z54" s="37">
        <f t="shared" si="16"/>
        <v>17.212108561461118</v>
      </c>
      <c r="AA54" s="37">
        <f t="shared" si="16"/>
        <v>17.086396385184067</v>
      </c>
      <c r="AB54" s="37">
        <f t="shared" si="16"/>
        <v>16.970944875792792</v>
      </c>
    </row>
    <row r="55" spans="1:28" x14ac:dyDescent="0.25">
      <c r="A55" s="4" t="s">
        <v>222</v>
      </c>
      <c r="B55" s="37">
        <f t="shared" ref="B55:AB55" si="17">B35*B15*$F$11</f>
        <v>234.19771960888895</v>
      </c>
      <c r="C55" s="37">
        <f t="shared" si="17"/>
        <v>232.19516776513569</v>
      </c>
      <c r="D55" s="37">
        <f t="shared" si="17"/>
        <v>229.01607695219633</v>
      </c>
      <c r="E55" s="37">
        <f t="shared" si="17"/>
        <v>225.85159110155956</v>
      </c>
      <c r="F55" s="37">
        <f t="shared" si="17"/>
        <v>222.61409471924989</v>
      </c>
      <c r="G55" s="37">
        <f t="shared" si="17"/>
        <v>219.4635462709648</v>
      </c>
      <c r="H55" s="37">
        <f t="shared" si="17"/>
        <v>216.32968958573042</v>
      </c>
      <c r="I55" s="37">
        <f t="shared" si="17"/>
        <v>213.28771547830749</v>
      </c>
      <c r="J55" s="37">
        <f t="shared" si="17"/>
        <v>210.26375620395925</v>
      </c>
      <c r="K55" s="37">
        <f t="shared" si="17"/>
        <v>207.23205790618695</v>
      </c>
      <c r="L55" s="37">
        <f t="shared" si="17"/>
        <v>204.22722986209155</v>
      </c>
      <c r="M55" s="37">
        <f t="shared" si="17"/>
        <v>201.23108598137398</v>
      </c>
      <c r="N55" s="37">
        <f t="shared" si="17"/>
        <v>198.27758271610551</v>
      </c>
      <c r="O55" s="37">
        <f t="shared" si="17"/>
        <v>195.29614025756118</v>
      </c>
      <c r="P55" s="37">
        <f t="shared" si="17"/>
        <v>192.33783667988357</v>
      </c>
      <c r="Q55" s="37">
        <f t="shared" si="17"/>
        <v>189.40103931408609</v>
      </c>
      <c r="R55" s="37">
        <f t="shared" si="17"/>
        <v>186.50122973616007</v>
      </c>
      <c r="S55" s="37">
        <f t="shared" si="17"/>
        <v>183.36967872429759</v>
      </c>
      <c r="T55" s="37">
        <f t="shared" si="17"/>
        <v>180.31255994952465</v>
      </c>
      <c r="U55" s="37">
        <f t="shared" si="17"/>
        <v>177.3611848149782</v>
      </c>
      <c r="V55" s="37">
        <f t="shared" si="17"/>
        <v>174.47746699870694</v>
      </c>
      <c r="W55" s="37">
        <f t="shared" si="17"/>
        <v>171.74352337091574</v>
      </c>
      <c r="X55" s="37">
        <f t="shared" si="17"/>
        <v>169.06980591352666</v>
      </c>
      <c r="Y55" s="37">
        <f t="shared" si="17"/>
        <v>166.50513466443891</v>
      </c>
      <c r="Z55" s="37">
        <f t="shared" si="17"/>
        <v>164.02914898034166</v>
      </c>
      <c r="AA55" s="37">
        <f t="shared" si="17"/>
        <v>161.62171848615992</v>
      </c>
      <c r="AB55" s="37">
        <f t="shared" si="17"/>
        <v>159.29706499302162</v>
      </c>
    </row>
    <row r="57" spans="1:28" x14ac:dyDescent="0.25">
      <c r="A57" s="4" t="s">
        <v>327</v>
      </c>
    </row>
    <row r="58" spans="1:28" x14ac:dyDescent="0.25">
      <c r="A58" s="4" t="s">
        <v>215</v>
      </c>
      <c r="B58" s="37">
        <f t="shared" ref="B58:AB58" si="18">B38*B15*$F$4</f>
        <v>22416.950407724191</v>
      </c>
      <c r="C58" s="37">
        <f t="shared" si="18"/>
        <v>22853.853182187537</v>
      </c>
      <c r="D58" s="37">
        <f t="shared" si="18"/>
        <v>23175.362680361963</v>
      </c>
      <c r="E58" s="37">
        <f t="shared" si="18"/>
        <v>23495.763020732331</v>
      </c>
      <c r="F58" s="37">
        <f t="shared" si="18"/>
        <v>23817.093738109128</v>
      </c>
      <c r="G58" s="37">
        <f t="shared" si="18"/>
        <v>24140.071640137521</v>
      </c>
      <c r="H58" s="37">
        <f t="shared" si="18"/>
        <v>24463.060569651221</v>
      </c>
      <c r="I58" s="37">
        <f t="shared" si="18"/>
        <v>24791.218683553398</v>
      </c>
      <c r="J58" s="37">
        <f t="shared" si="18"/>
        <v>25114.769346367928</v>
      </c>
      <c r="K58" s="37">
        <f t="shared" si="18"/>
        <v>25433.32545361427</v>
      </c>
      <c r="L58" s="37">
        <f t="shared" si="18"/>
        <v>25744.788989953639</v>
      </c>
      <c r="M58" s="37">
        <f t="shared" si="18"/>
        <v>26048.786980502333</v>
      </c>
      <c r="N58" s="37">
        <f t="shared" si="18"/>
        <v>26342.716984156999</v>
      </c>
      <c r="O58" s="37">
        <f t="shared" si="18"/>
        <v>26625.651248039732</v>
      </c>
      <c r="P58" s="37">
        <f t="shared" si="18"/>
        <v>26894.238906907674</v>
      </c>
      <c r="Q58" s="37">
        <f t="shared" si="18"/>
        <v>27148.001809848614</v>
      </c>
      <c r="R58" s="37">
        <f t="shared" si="18"/>
        <v>27382.887060897428</v>
      </c>
      <c r="S58" s="37">
        <f t="shared" si="18"/>
        <v>27566.9137391718</v>
      </c>
      <c r="T58" s="37">
        <f t="shared" si="18"/>
        <v>27730.586731622778</v>
      </c>
      <c r="U58" s="37">
        <f t="shared" si="18"/>
        <v>27875.451859773737</v>
      </c>
      <c r="V58" s="37">
        <f t="shared" si="18"/>
        <v>27994.856707164217</v>
      </c>
      <c r="W58" s="37">
        <f t="shared" si="18"/>
        <v>28090.490911804405</v>
      </c>
      <c r="X58" s="37">
        <f t="shared" si="18"/>
        <v>28160.834867161953</v>
      </c>
      <c r="Y58" s="37">
        <f t="shared" si="18"/>
        <v>28217.517991594974</v>
      </c>
      <c r="Z58" s="37">
        <f t="shared" si="18"/>
        <v>28250.225889155648</v>
      </c>
      <c r="AA58" s="37">
        <f t="shared" si="18"/>
        <v>28260.693059401561</v>
      </c>
      <c r="AB58" s="37">
        <f t="shared" si="18"/>
        <v>28251.466673304996</v>
      </c>
    </row>
    <row r="59" spans="1:28" x14ac:dyDescent="0.25">
      <c r="A59" s="4" t="s">
        <v>216</v>
      </c>
      <c r="B59" s="37">
        <f t="shared" ref="B59:AB59" si="19">B39*B15*$F$5</f>
        <v>21962.595159876186</v>
      </c>
      <c r="C59" s="37">
        <f t="shared" si="19"/>
        <v>22332.648958971396</v>
      </c>
      <c r="D59" s="37">
        <f t="shared" si="19"/>
        <v>22591.682938752634</v>
      </c>
      <c r="E59" s="37">
        <f t="shared" si="19"/>
        <v>22861.586619028199</v>
      </c>
      <c r="F59" s="37">
        <f t="shared" si="19"/>
        <v>23148.742614159019</v>
      </c>
      <c r="G59" s="37">
        <f t="shared" si="19"/>
        <v>23454.26415811828</v>
      </c>
      <c r="H59" s="37">
        <f t="shared" si="19"/>
        <v>23780.202737033611</v>
      </c>
      <c r="I59" s="37">
        <f t="shared" si="19"/>
        <v>24130.594015383736</v>
      </c>
      <c r="J59" s="37">
        <f t="shared" si="19"/>
        <v>24498.070078710669</v>
      </c>
      <c r="K59" s="37">
        <f t="shared" si="19"/>
        <v>24876.33406767984</v>
      </c>
      <c r="L59" s="37">
        <f t="shared" si="19"/>
        <v>25264.860310694403</v>
      </c>
      <c r="M59" s="37">
        <f t="shared" si="19"/>
        <v>25662.104224821378</v>
      </c>
      <c r="N59" s="37">
        <f t="shared" si="19"/>
        <v>26062.595066592236</v>
      </c>
      <c r="O59" s="37">
        <f t="shared" si="19"/>
        <v>26461.153300997303</v>
      </c>
      <c r="P59" s="37">
        <f t="shared" si="19"/>
        <v>26856.668722042792</v>
      </c>
      <c r="Q59" s="37">
        <f t="shared" si="19"/>
        <v>27241.79680144793</v>
      </c>
      <c r="R59" s="37">
        <f t="shared" si="19"/>
        <v>27614.53124833027</v>
      </c>
      <c r="S59" s="37">
        <f t="shared" si="19"/>
        <v>27937.200455297272</v>
      </c>
      <c r="T59" s="37">
        <f t="shared" si="19"/>
        <v>28239.886171097995</v>
      </c>
      <c r="U59" s="37">
        <f t="shared" si="19"/>
        <v>28520.071880695879</v>
      </c>
      <c r="V59" s="37">
        <f t="shared" si="19"/>
        <v>28771.391797049426</v>
      </c>
      <c r="W59" s="37">
        <f t="shared" si="19"/>
        <v>28988.143905214951</v>
      </c>
      <c r="X59" s="37">
        <f t="shared" si="19"/>
        <v>29171.948467884511</v>
      </c>
      <c r="Y59" s="37">
        <f t="shared" si="19"/>
        <v>29336.445039104885</v>
      </c>
      <c r="Z59" s="37">
        <f t="shared" si="19"/>
        <v>29469.033763374195</v>
      </c>
      <c r="AA59" s="37">
        <f t="shared" si="19"/>
        <v>29565.204741387599</v>
      </c>
      <c r="AB59" s="37">
        <f t="shared" si="19"/>
        <v>29625.488919544561</v>
      </c>
    </row>
    <row r="60" spans="1:28" x14ac:dyDescent="0.25">
      <c r="A60" s="4" t="s">
        <v>217</v>
      </c>
      <c r="B60" s="37">
        <f t="shared" ref="B60:AB60" si="20">B40*B15*$F$6</f>
        <v>32904.371482702292</v>
      </c>
      <c r="C60" s="37">
        <f t="shared" si="20"/>
        <v>33496.809159297038</v>
      </c>
      <c r="D60" s="37">
        <f t="shared" si="20"/>
        <v>33918.64504383922</v>
      </c>
      <c r="E60" s="37">
        <f t="shared" si="20"/>
        <v>34344.38330352139</v>
      </c>
      <c r="F60" s="37">
        <f t="shared" si="20"/>
        <v>34781.053820958077</v>
      </c>
      <c r="G60" s="37">
        <f t="shared" si="20"/>
        <v>35228.770857826676</v>
      </c>
      <c r="H60" s="37">
        <f t="shared" si="20"/>
        <v>35688.799696440263</v>
      </c>
      <c r="I60" s="37">
        <f t="shared" si="20"/>
        <v>36167.23592749508</v>
      </c>
      <c r="J60" s="37">
        <f t="shared" si="20"/>
        <v>36651.854601164596</v>
      </c>
      <c r="K60" s="37">
        <f t="shared" si="20"/>
        <v>37136.214768686412</v>
      </c>
      <c r="L60" s="37">
        <f t="shared" si="20"/>
        <v>37618.414882712554</v>
      </c>
      <c r="M60" s="37">
        <f t="shared" si="20"/>
        <v>38097.069309440696</v>
      </c>
      <c r="N60" s="37">
        <f t="shared" si="20"/>
        <v>38565.354031234201</v>
      </c>
      <c r="O60" s="37">
        <f t="shared" si="20"/>
        <v>39019.541944287259</v>
      </c>
      <c r="P60" s="37">
        <f t="shared" si="20"/>
        <v>39454.715237881195</v>
      </c>
      <c r="Q60" s="37">
        <f t="shared" si="20"/>
        <v>39865.682852143131</v>
      </c>
      <c r="R60" s="37">
        <f t="shared" si="20"/>
        <v>40247.465126345021</v>
      </c>
      <c r="S60" s="37">
        <f t="shared" si="20"/>
        <v>40549.211789087771</v>
      </c>
      <c r="T60" s="37">
        <f t="shared" si="20"/>
        <v>40815.550309561942</v>
      </c>
      <c r="U60" s="37">
        <f t="shared" si="20"/>
        <v>41046.505661942887</v>
      </c>
      <c r="V60" s="37">
        <f t="shared" si="20"/>
        <v>41231.218583223963</v>
      </c>
      <c r="W60" s="37">
        <f t="shared" si="20"/>
        <v>41366.663459077681</v>
      </c>
      <c r="X60" s="37">
        <f t="shared" si="20"/>
        <v>41453.78092145003</v>
      </c>
      <c r="Y60" s="37">
        <f t="shared" si="20"/>
        <v>41513.760648321528</v>
      </c>
      <c r="Z60" s="37">
        <f t="shared" si="20"/>
        <v>41528.01367532141</v>
      </c>
      <c r="AA60" s="37">
        <f t="shared" si="20"/>
        <v>41493.988177562998</v>
      </c>
      <c r="AB60" s="37">
        <f t="shared" si="20"/>
        <v>41415.232266850158</v>
      </c>
    </row>
    <row r="61" spans="1:28" x14ac:dyDescent="0.25">
      <c r="A61" s="4" t="s">
        <v>218</v>
      </c>
      <c r="B61" s="37">
        <f t="shared" ref="B61:AB61" si="21">B41*B15*$F$7</f>
        <v>10777.215386196274</v>
      </c>
      <c r="C61" s="37">
        <f t="shared" si="21"/>
        <v>10953.495121401982</v>
      </c>
      <c r="D61" s="37">
        <f t="shared" si="21"/>
        <v>11075.80619704013</v>
      </c>
      <c r="E61" s="37">
        <f t="shared" si="21"/>
        <v>11199.038296439539</v>
      </c>
      <c r="F61" s="37">
        <f t="shared" si="21"/>
        <v>11326.863685994527</v>
      </c>
      <c r="G61" s="37">
        <f t="shared" si="21"/>
        <v>11459.58866828815</v>
      </c>
      <c r="H61" s="37">
        <f t="shared" si="21"/>
        <v>11596.939877106333</v>
      </c>
      <c r="I61" s="37">
        <f t="shared" si="21"/>
        <v>11742.543114569024</v>
      </c>
      <c r="J61" s="37">
        <f t="shared" si="21"/>
        <v>11892.688157516588</v>
      </c>
      <c r="K61" s="37">
        <f t="shared" si="21"/>
        <v>12046.636258312454</v>
      </c>
      <c r="L61" s="37">
        <f t="shared" si="21"/>
        <v>12204.426549427295</v>
      </c>
      <c r="M61" s="37">
        <f t="shared" si="21"/>
        <v>12365.457138781392</v>
      </c>
      <c r="N61" s="37">
        <f t="shared" si="21"/>
        <v>12530.340484830791</v>
      </c>
      <c r="O61" s="37">
        <f t="shared" si="21"/>
        <v>12695.931017001556</v>
      </c>
      <c r="P61" s="37">
        <f t="shared" si="21"/>
        <v>12863.651938053938</v>
      </c>
      <c r="Q61" s="37">
        <f t="shared" si="21"/>
        <v>13030.914079064465</v>
      </c>
      <c r="R61" s="37">
        <f t="shared" si="21"/>
        <v>13197.429149233656</v>
      </c>
      <c r="S61" s="37">
        <f t="shared" si="21"/>
        <v>13347.631920326416</v>
      </c>
      <c r="T61" s="37">
        <f t="shared" si="21"/>
        <v>13494.238359504348</v>
      </c>
      <c r="U61" s="37">
        <f t="shared" si="21"/>
        <v>13637.462350880804</v>
      </c>
      <c r="V61" s="37">
        <f t="shared" si="21"/>
        <v>13775.717229611089</v>
      </c>
      <c r="W61" s="37">
        <f t="shared" si="21"/>
        <v>13906.450748676763</v>
      </c>
      <c r="X61" s="37">
        <f t="shared" si="21"/>
        <v>14028.731371181839</v>
      </c>
      <c r="Y61" s="37">
        <f t="shared" si="21"/>
        <v>14146.100183839073</v>
      </c>
      <c r="Z61" s="37">
        <f t="shared" si="21"/>
        <v>14254.649005629239</v>
      </c>
      <c r="AA61" s="37">
        <f t="shared" si="21"/>
        <v>14354.250356642944</v>
      </c>
      <c r="AB61" s="37">
        <f t="shared" si="21"/>
        <v>14443.409566411065</v>
      </c>
    </row>
    <row r="62" spans="1:28" x14ac:dyDescent="0.25">
      <c r="A62" s="4" t="s">
        <v>219</v>
      </c>
      <c r="B62" s="37">
        <f t="shared" ref="B62:AB62" si="22">B42*B15*$F$8</f>
        <v>502.02966498426071</v>
      </c>
      <c r="C62" s="37">
        <f t="shared" si="22"/>
        <v>514.49317051214871</v>
      </c>
      <c r="D62" s="37">
        <f t="shared" si="22"/>
        <v>524.78619817452295</v>
      </c>
      <c r="E62" s="37">
        <f t="shared" si="22"/>
        <v>535.83594458821813</v>
      </c>
      <c r="F62" s="37">
        <f t="shared" si="22"/>
        <v>547.79556864119922</v>
      </c>
      <c r="G62" s="37">
        <f t="shared" si="22"/>
        <v>560.65174736241852</v>
      </c>
      <c r="H62" s="37">
        <f t="shared" si="22"/>
        <v>574.44009034936255</v>
      </c>
      <c r="I62" s="37">
        <f t="shared" si="22"/>
        <v>589.32165358069687</v>
      </c>
      <c r="J62" s="37">
        <f t="shared" si="22"/>
        <v>604.84311893323559</v>
      </c>
      <c r="K62" s="37">
        <f t="shared" si="22"/>
        <v>620.88392402344994</v>
      </c>
      <c r="L62" s="37">
        <f t="shared" si="22"/>
        <v>637.60320236638665</v>
      </c>
      <c r="M62" s="37">
        <f t="shared" si="22"/>
        <v>654.87836264323687</v>
      </c>
      <c r="N62" s="37">
        <f t="shared" si="22"/>
        <v>672.62795675476843</v>
      </c>
      <c r="O62" s="37">
        <f t="shared" si="22"/>
        <v>690.73580240428021</v>
      </c>
      <c r="P62" s="37">
        <f t="shared" si="22"/>
        <v>709.14200473868937</v>
      </c>
      <c r="Q62" s="37">
        <f t="shared" si="22"/>
        <v>727.71413925612569</v>
      </c>
      <c r="R62" s="37">
        <f t="shared" si="22"/>
        <v>746.38737835889742</v>
      </c>
      <c r="S62" s="37">
        <f t="shared" si="22"/>
        <v>764.14152074176525</v>
      </c>
      <c r="T62" s="37">
        <f t="shared" si="22"/>
        <v>781.84295971005884</v>
      </c>
      <c r="U62" s="37">
        <f t="shared" si="22"/>
        <v>799.32366627346516</v>
      </c>
      <c r="V62" s="37">
        <f t="shared" si="22"/>
        <v>816.6108942293572</v>
      </c>
      <c r="W62" s="37">
        <f t="shared" si="22"/>
        <v>833.65037108659601</v>
      </c>
      <c r="X62" s="37">
        <f t="shared" si="22"/>
        <v>850.51268925880777</v>
      </c>
      <c r="Y62" s="37">
        <f t="shared" si="22"/>
        <v>867.14142112857098</v>
      </c>
      <c r="Z62" s="37">
        <f t="shared" si="22"/>
        <v>883.56228051031417</v>
      </c>
      <c r="AA62" s="37">
        <f t="shared" si="22"/>
        <v>899.76428644844839</v>
      </c>
      <c r="AB62" s="37">
        <f t="shared" si="22"/>
        <v>915.68081320951683</v>
      </c>
    </row>
    <row r="63" spans="1:28" x14ac:dyDescent="0.25">
      <c r="A63" s="4" t="s">
        <v>220</v>
      </c>
      <c r="B63" s="37">
        <f t="shared" ref="B63:AB63" si="23">B43*B15*$F$9</f>
        <v>649.30340169593092</v>
      </c>
      <c r="C63" s="37">
        <f t="shared" si="23"/>
        <v>664.49147826644969</v>
      </c>
      <c r="D63" s="37">
        <f t="shared" si="23"/>
        <v>676.97790362565092</v>
      </c>
      <c r="E63" s="37">
        <f t="shared" si="23"/>
        <v>690.70213782209873</v>
      </c>
      <c r="F63" s="37">
        <f t="shared" si="23"/>
        <v>704.52014630487668</v>
      </c>
      <c r="G63" s="37">
        <f t="shared" si="23"/>
        <v>719.43706715429175</v>
      </c>
      <c r="H63" s="37">
        <f t="shared" si="23"/>
        <v>734.7976498738243</v>
      </c>
      <c r="I63" s="37">
        <f t="shared" si="23"/>
        <v>750.66040228964152</v>
      </c>
      <c r="J63" s="37">
        <f t="shared" si="23"/>
        <v>766.87193496886061</v>
      </c>
      <c r="K63" s="37">
        <f t="shared" si="23"/>
        <v>784.25778548585379</v>
      </c>
      <c r="L63" s="37">
        <f t="shared" si="23"/>
        <v>802.06420832596257</v>
      </c>
      <c r="M63" s="37">
        <f t="shared" si="23"/>
        <v>820.53584670746523</v>
      </c>
      <c r="N63" s="37">
        <f t="shared" si="23"/>
        <v>839.31204170953708</v>
      </c>
      <c r="O63" s="37">
        <f t="shared" si="23"/>
        <v>858.45888064028622</v>
      </c>
      <c r="P63" s="37">
        <f t="shared" si="23"/>
        <v>878.2011975975272</v>
      </c>
      <c r="Q63" s="37">
        <f t="shared" si="23"/>
        <v>898.42331113342311</v>
      </c>
      <c r="R63" s="37">
        <f t="shared" si="23"/>
        <v>918.95317195202347</v>
      </c>
      <c r="S63" s="37">
        <f t="shared" si="23"/>
        <v>938.41635741066511</v>
      </c>
      <c r="T63" s="37">
        <f t="shared" si="23"/>
        <v>958.12328988650768</v>
      </c>
      <c r="U63" s="37">
        <f t="shared" si="23"/>
        <v>977.82228528767007</v>
      </c>
      <c r="V63" s="37">
        <f t="shared" si="23"/>
        <v>997.23159320747959</v>
      </c>
      <c r="W63" s="37">
        <f t="shared" si="23"/>
        <v>1016.9602564523618</v>
      </c>
      <c r="X63" s="37">
        <f t="shared" si="23"/>
        <v>1036.5174558276281</v>
      </c>
      <c r="Y63" s="37">
        <f t="shared" si="23"/>
        <v>1056.1974058557614</v>
      </c>
      <c r="Z63" s="37">
        <f t="shared" si="23"/>
        <v>1075.5935549151534</v>
      </c>
      <c r="AA63" s="37">
        <f t="shared" si="23"/>
        <v>1094.8635743477205</v>
      </c>
      <c r="AB63" s="37">
        <f t="shared" si="23"/>
        <v>1114.1725985648245</v>
      </c>
    </row>
    <row r="64" spans="1:28" x14ac:dyDescent="0.25">
      <c r="A64" s="4" t="s">
        <v>221</v>
      </c>
      <c r="B64" s="37">
        <f t="shared" ref="B64:AB64" si="24">B44*B15*$F$10</f>
        <v>1187.4725845058526</v>
      </c>
      <c r="C64" s="37">
        <f t="shared" si="24"/>
        <v>1230.8859254837664</v>
      </c>
      <c r="D64" s="37">
        <f t="shared" si="24"/>
        <v>1269.0194967059583</v>
      </c>
      <c r="E64" s="37">
        <f t="shared" si="24"/>
        <v>1308.0236951271438</v>
      </c>
      <c r="F64" s="37">
        <f t="shared" si="24"/>
        <v>1347.9136019432915</v>
      </c>
      <c r="G64" s="37">
        <f t="shared" si="24"/>
        <v>1388.8542013729534</v>
      </c>
      <c r="H64" s="37">
        <f t="shared" si="24"/>
        <v>1431.2984218498812</v>
      </c>
      <c r="I64" s="37">
        <f t="shared" si="24"/>
        <v>1475.651241153736</v>
      </c>
      <c r="J64" s="37">
        <f t="shared" si="24"/>
        <v>1521.1658287074533</v>
      </c>
      <c r="K64" s="37">
        <f t="shared" si="24"/>
        <v>1568.1940832400549</v>
      </c>
      <c r="L64" s="37">
        <f t="shared" si="24"/>
        <v>1617.0038245605695</v>
      </c>
      <c r="M64" s="37">
        <f t="shared" si="24"/>
        <v>1667.2007684208786</v>
      </c>
      <c r="N64" s="37">
        <f t="shared" si="24"/>
        <v>1719.2201903450525</v>
      </c>
      <c r="O64" s="37">
        <f t="shared" si="24"/>
        <v>1772.7776826900531</v>
      </c>
      <c r="P64" s="37">
        <f t="shared" si="24"/>
        <v>1827.7974536566358</v>
      </c>
      <c r="Q64" s="37">
        <f t="shared" si="24"/>
        <v>1884.3627382487721</v>
      </c>
      <c r="R64" s="37">
        <f t="shared" si="24"/>
        <v>1942.0962820912721</v>
      </c>
      <c r="S64" s="37">
        <f t="shared" si="24"/>
        <v>1998.6558198923265</v>
      </c>
      <c r="T64" s="37">
        <f t="shared" si="24"/>
        <v>2056.2108908082746</v>
      </c>
      <c r="U64" s="37">
        <f t="shared" si="24"/>
        <v>2114.6237341939041</v>
      </c>
      <c r="V64" s="37">
        <f t="shared" si="24"/>
        <v>2173.6123891687957</v>
      </c>
      <c r="W64" s="37">
        <f t="shared" si="24"/>
        <v>2232.8770755104251</v>
      </c>
      <c r="X64" s="37">
        <f t="shared" si="24"/>
        <v>2292.6878371973048</v>
      </c>
      <c r="Y64" s="37">
        <f t="shared" si="24"/>
        <v>2352.5827769043754</v>
      </c>
      <c r="Z64" s="37">
        <f t="shared" si="24"/>
        <v>2412.5291754481846</v>
      </c>
      <c r="AA64" s="37">
        <f t="shared" si="24"/>
        <v>2471.9842310863455</v>
      </c>
      <c r="AB64" s="37">
        <f t="shared" si="24"/>
        <v>2530.8790866645636</v>
      </c>
    </row>
    <row r="65" spans="1:28" x14ac:dyDescent="0.25">
      <c r="A65" s="4" t="s">
        <v>222</v>
      </c>
      <c r="B65" s="37">
        <f t="shared" ref="B65:AB65" si="25">B45*B15*$F$11</f>
        <v>47372.749468808397</v>
      </c>
      <c r="C65" s="37">
        <f t="shared" si="25"/>
        <v>48153.235094750678</v>
      </c>
      <c r="D65" s="37">
        <f t="shared" si="25"/>
        <v>48689.05028223752</v>
      </c>
      <c r="E65" s="37">
        <f t="shared" si="25"/>
        <v>49232.690594241642</v>
      </c>
      <c r="F65" s="37">
        <f t="shared" si="25"/>
        <v>49793.831530876887</v>
      </c>
      <c r="G65" s="37">
        <f t="shared" si="25"/>
        <v>50373.978748423338</v>
      </c>
      <c r="H65" s="37">
        <f t="shared" si="25"/>
        <v>50971.818777686189</v>
      </c>
      <c r="I65" s="37">
        <f t="shared" si="25"/>
        <v>51596.590825685453</v>
      </c>
      <c r="J65" s="37">
        <f t="shared" si="25"/>
        <v>52231.026446992815</v>
      </c>
      <c r="K65" s="37">
        <f t="shared" si="25"/>
        <v>52866.13428953672</v>
      </c>
      <c r="L65" s="37">
        <f t="shared" si="25"/>
        <v>53497.80079638162</v>
      </c>
      <c r="M65" s="37">
        <f t="shared" si="25"/>
        <v>54125.30204536247</v>
      </c>
      <c r="N65" s="37">
        <f t="shared" si="25"/>
        <v>54737.635187347441</v>
      </c>
      <c r="O65" s="37">
        <f t="shared" si="25"/>
        <v>55328.842658041969</v>
      </c>
      <c r="P65" s="37">
        <f t="shared" si="25"/>
        <v>55893.944611962754</v>
      </c>
      <c r="Q65" s="37">
        <f t="shared" si="25"/>
        <v>56423.656409979143</v>
      </c>
      <c r="R65" s="37">
        <f t="shared" si="25"/>
        <v>56912.273425274463</v>
      </c>
      <c r="S65" s="37">
        <f t="shared" si="25"/>
        <v>57287.406908713754</v>
      </c>
      <c r="T65" s="37">
        <f t="shared" si="25"/>
        <v>57611.656029349775</v>
      </c>
      <c r="U65" s="37">
        <f t="shared" si="25"/>
        <v>57884.505626595244</v>
      </c>
      <c r="V65" s="37">
        <f t="shared" si="25"/>
        <v>58091.805348217669</v>
      </c>
      <c r="W65" s="37">
        <f t="shared" si="25"/>
        <v>58230.179315822759</v>
      </c>
      <c r="X65" s="37">
        <f t="shared" si="25"/>
        <v>58298.649790054427</v>
      </c>
      <c r="Y65" s="37">
        <f t="shared" si="25"/>
        <v>58328.428089984998</v>
      </c>
      <c r="Z65" s="37">
        <f t="shared" si="25"/>
        <v>58292.92627222203</v>
      </c>
      <c r="AA65" s="37">
        <f t="shared" si="25"/>
        <v>58191.102293412681</v>
      </c>
      <c r="AB65" s="37">
        <f t="shared" si="25"/>
        <v>58026.860752540357</v>
      </c>
    </row>
    <row r="67" spans="1:28" x14ac:dyDescent="0.25">
      <c r="A67" s="4" t="s">
        <v>328</v>
      </c>
    </row>
    <row r="68" spans="1:28" x14ac:dyDescent="0.25">
      <c r="A68" s="4" t="s">
        <v>329</v>
      </c>
      <c r="B68" s="40">
        <f t="shared" ref="B68:AB68" si="26">B48+B49</f>
        <v>258.89096697800034</v>
      </c>
      <c r="C68" s="40">
        <f t="shared" si="26"/>
        <v>257.50431342233594</v>
      </c>
      <c r="D68" s="40">
        <f t="shared" si="26"/>
        <v>254.85537954383102</v>
      </c>
      <c r="E68" s="40">
        <f t="shared" si="26"/>
        <v>252.24047866245718</v>
      </c>
      <c r="F68" s="40">
        <f t="shared" si="26"/>
        <v>249.61574746406518</v>
      </c>
      <c r="G68" s="40">
        <f t="shared" si="26"/>
        <v>247.01261759210018</v>
      </c>
      <c r="H68" s="40">
        <f t="shared" si="26"/>
        <v>244.41712854561951</v>
      </c>
      <c r="I68" s="40">
        <f t="shared" si="26"/>
        <v>241.90737228475325</v>
      </c>
      <c r="J68" s="40">
        <f t="shared" si="26"/>
        <v>239.39617075121043</v>
      </c>
      <c r="K68" s="40">
        <f t="shared" si="26"/>
        <v>236.85444746952197</v>
      </c>
      <c r="L68" s="40">
        <f t="shared" si="26"/>
        <v>234.30201826298963</v>
      </c>
      <c r="M68" s="40">
        <f t="shared" si="26"/>
        <v>231.71908326728354</v>
      </c>
      <c r="N68" s="40">
        <f t="shared" si="26"/>
        <v>229.13510716527975</v>
      </c>
      <c r="O68" s="40">
        <f t="shared" si="26"/>
        <v>226.49744241987213</v>
      </c>
      <c r="P68" s="40">
        <f t="shared" si="26"/>
        <v>223.7961314490895</v>
      </c>
      <c r="Q68" s="40">
        <f t="shared" si="26"/>
        <v>221.08106629506037</v>
      </c>
      <c r="R68" s="40">
        <f t="shared" si="26"/>
        <v>218.3172307023772</v>
      </c>
      <c r="S68" s="40">
        <f t="shared" si="26"/>
        <v>215.29725125721041</v>
      </c>
      <c r="T68" s="40">
        <f t="shared" si="26"/>
        <v>212.29129906840473</v>
      </c>
      <c r="U68" s="40">
        <f t="shared" si="26"/>
        <v>209.32650691109407</v>
      </c>
      <c r="V68" s="40">
        <f t="shared" si="26"/>
        <v>206.42919448548361</v>
      </c>
      <c r="W68" s="40">
        <f t="shared" si="26"/>
        <v>203.59469414323885</v>
      </c>
      <c r="X68" s="40">
        <f t="shared" si="26"/>
        <v>200.88963518672341</v>
      </c>
      <c r="Y68" s="40">
        <f t="shared" si="26"/>
        <v>198.27097465301182</v>
      </c>
      <c r="Z68" s="40">
        <f t="shared" si="26"/>
        <v>195.73205302035217</v>
      </c>
      <c r="AA68" s="40">
        <f t="shared" si="26"/>
        <v>193.27184114842385</v>
      </c>
      <c r="AB68" s="40">
        <f t="shared" si="26"/>
        <v>190.91746348501991</v>
      </c>
    </row>
    <row r="69" spans="1:28" x14ac:dyDescent="0.25">
      <c r="A69" s="4" t="s">
        <v>330</v>
      </c>
      <c r="B69" s="40">
        <f t="shared" ref="B69:AB69" si="27">B50+B51+B52+B53</f>
        <v>296.04418363901499</v>
      </c>
      <c r="C69" s="40">
        <f t="shared" si="27"/>
        <v>293.76027398425117</v>
      </c>
      <c r="D69" s="40">
        <f t="shared" si="27"/>
        <v>290.06981008211568</v>
      </c>
      <c r="E69" s="40">
        <f t="shared" si="27"/>
        <v>286.37680514478524</v>
      </c>
      <c r="F69" s="40">
        <f t="shared" si="27"/>
        <v>282.66402179613709</v>
      </c>
      <c r="G69" s="40">
        <f t="shared" si="27"/>
        <v>278.99495666910082</v>
      </c>
      <c r="H69" s="40">
        <f t="shared" si="27"/>
        <v>275.28476721881304</v>
      </c>
      <c r="I69" s="40">
        <f t="shared" si="27"/>
        <v>271.71727232835053</v>
      </c>
      <c r="J69" s="40">
        <f t="shared" si="27"/>
        <v>268.15664807934905</v>
      </c>
      <c r="K69" s="40">
        <f t="shared" si="27"/>
        <v>264.57649145401729</v>
      </c>
      <c r="L69" s="40">
        <f t="shared" si="27"/>
        <v>261.04278463791627</v>
      </c>
      <c r="M69" s="40">
        <f t="shared" si="27"/>
        <v>257.55389386228831</v>
      </c>
      <c r="N69" s="40">
        <f t="shared" si="27"/>
        <v>254.06893578872496</v>
      </c>
      <c r="O69" s="40">
        <f t="shared" si="27"/>
        <v>250.59520370497933</v>
      </c>
      <c r="P69" s="40">
        <f t="shared" si="27"/>
        <v>247.09515873874327</v>
      </c>
      <c r="Q69" s="40">
        <f t="shared" si="27"/>
        <v>243.61915259201248</v>
      </c>
      <c r="R69" s="40">
        <f t="shared" si="27"/>
        <v>240.14299118435125</v>
      </c>
      <c r="S69" s="40">
        <f t="shared" si="27"/>
        <v>236.38832703013159</v>
      </c>
      <c r="T69" s="40">
        <f t="shared" si="27"/>
        <v>232.67928857306538</v>
      </c>
      <c r="U69" s="40">
        <f t="shared" si="27"/>
        <v>229.02768618953408</v>
      </c>
      <c r="V69" s="40">
        <f t="shared" si="27"/>
        <v>225.47447265889184</v>
      </c>
      <c r="W69" s="40">
        <f t="shared" si="27"/>
        <v>221.97086118150077</v>
      </c>
      <c r="X69" s="40">
        <f t="shared" si="27"/>
        <v>218.62599513966975</v>
      </c>
      <c r="Y69" s="40">
        <f t="shared" si="27"/>
        <v>215.40346791587223</v>
      </c>
      <c r="Z69" s="40">
        <f t="shared" si="27"/>
        <v>212.26706977490932</v>
      </c>
      <c r="AA69" s="40">
        <f t="shared" si="27"/>
        <v>209.24885950129519</v>
      </c>
      <c r="AB69" s="40">
        <f t="shared" si="27"/>
        <v>206.3170740427974</v>
      </c>
    </row>
    <row r="70" spans="1:28" x14ac:dyDescent="0.25">
      <c r="A70" s="4" t="s">
        <v>331</v>
      </c>
      <c r="B70" s="40">
        <f t="shared" ref="B70:AB70" si="28">B54+B55</f>
        <v>252.43548280248717</v>
      </c>
      <c r="C70" s="40">
        <f t="shared" si="28"/>
        <v>250.5318305099259</v>
      </c>
      <c r="D70" s="40">
        <f t="shared" si="28"/>
        <v>247.37182766883589</v>
      </c>
      <c r="E70" s="40">
        <f t="shared" si="28"/>
        <v>244.23323873313981</v>
      </c>
      <c r="F70" s="40">
        <f t="shared" si="28"/>
        <v>241.03799729904924</v>
      </c>
      <c r="G70" s="40">
        <f t="shared" si="28"/>
        <v>237.91319383499174</v>
      </c>
      <c r="H70" s="40">
        <f t="shared" si="28"/>
        <v>234.80297323738739</v>
      </c>
      <c r="I70" s="40">
        <f t="shared" si="28"/>
        <v>231.78768537242834</v>
      </c>
      <c r="J70" s="40">
        <f t="shared" si="28"/>
        <v>228.78426279797338</v>
      </c>
      <c r="K70" s="40">
        <f t="shared" si="28"/>
        <v>225.76642535657155</v>
      </c>
      <c r="L70" s="40">
        <f t="shared" si="28"/>
        <v>222.76428623563535</v>
      </c>
      <c r="M70" s="40">
        <f t="shared" si="28"/>
        <v>219.75980233557746</v>
      </c>
      <c r="N70" s="40">
        <f t="shared" si="28"/>
        <v>216.78704355671698</v>
      </c>
      <c r="O70" s="40">
        <f t="shared" si="28"/>
        <v>213.77553214102315</v>
      </c>
      <c r="P70" s="40">
        <f t="shared" si="28"/>
        <v>210.76261135625592</v>
      </c>
      <c r="Q70" s="40">
        <f t="shared" si="28"/>
        <v>207.76050247536861</v>
      </c>
      <c r="R70" s="40">
        <f t="shared" si="28"/>
        <v>204.77089609879729</v>
      </c>
      <c r="S70" s="40">
        <f t="shared" si="28"/>
        <v>201.53128408225899</v>
      </c>
      <c r="T70" s="40">
        <f t="shared" si="28"/>
        <v>198.35094079336039</v>
      </c>
      <c r="U70" s="40">
        <f t="shared" si="28"/>
        <v>195.26108155670835</v>
      </c>
      <c r="V70" s="40">
        <f t="shared" si="28"/>
        <v>192.24166845170097</v>
      </c>
      <c r="W70" s="40">
        <f t="shared" si="28"/>
        <v>189.3517951558274</v>
      </c>
      <c r="X70" s="40">
        <f t="shared" si="28"/>
        <v>186.54712119413404</v>
      </c>
      <c r="Y70" s="40">
        <f t="shared" si="28"/>
        <v>183.84896893796787</v>
      </c>
      <c r="Z70" s="40">
        <f t="shared" si="28"/>
        <v>181.24125754180278</v>
      </c>
      <c r="AA70" s="40">
        <f t="shared" si="28"/>
        <v>178.70811487134398</v>
      </c>
      <c r="AB70" s="40">
        <f t="shared" si="28"/>
        <v>176.2680098688144</v>
      </c>
    </row>
    <row r="71" spans="1:28" x14ac:dyDescent="0.25">
      <c r="A71" s="4" t="s">
        <v>332</v>
      </c>
      <c r="B71" s="40">
        <f t="shared" ref="B71:AB71" si="29">B58+B59</f>
        <v>44379.545567600377</v>
      </c>
      <c r="C71" s="40">
        <f t="shared" si="29"/>
        <v>45186.502141158933</v>
      </c>
      <c r="D71" s="40">
        <f t="shared" si="29"/>
        <v>45767.045619114593</v>
      </c>
      <c r="E71" s="40">
        <f t="shared" si="29"/>
        <v>46357.349639760534</v>
      </c>
      <c r="F71" s="40">
        <f t="shared" si="29"/>
        <v>46965.836352268147</v>
      </c>
      <c r="G71" s="40">
        <f t="shared" si="29"/>
        <v>47594.335798255801</v>
      </c>
      <c r="H71" s="40">
        <f t="shared" si="29"/>
        <v>48243.263306684836</v>
      </c>
      <c r="I71" s="40">
        <f t="shared" si="29"/>
        <v>48921.812698937138</v>
      </c>
      <c r="J71" s="40">
        <f t="shared" si="29"/>
        <v>49612.839425078593</v>
      </c>
      <c r="K71" s="40">
        <f t="shared" si="29"/>
        <v>50309.65952129411</v>
      </c>
      <c r="L71" s="40">
        <f t="shared" si="29"/>
        <v>51009.649300648045</v>
      </c>
      <c r="M71" s="40">
        <f t="shared" si="29"/>
        <v>51710.891205323715</v>
      </c>
      <c r="N71" s="40">
        <f t="shared" si="29"/>
        <v>52405.312050749235</v>
      </c>
      <c r="O71" s="40">
        <f t="shared" si="29"/>
        <v>53086.804549037035</v>
      </c>
      <c r="P71" s="40">
        <f t="shared" si="29"/>
        <v>53750.907628950466</v>
      </c>
      <c r="Q71" s="40">
        <f t="shared" si="29"/>
        <v>54389.798611296545</v>
      </c>
      <c r="R71" s="40">
        <f t="shared" si="29"/>
        <v>54997.418309227694</v>
      </c>
      <c r="S71" s="40">
        <f t="shared" si="29"/>
        <v>55504.114194469075</v>
      </c>
      <c r="T71" s="40">
        <f t="shared" si="29"/>
        <v>55970.472902720772</v>
      </c>
      <c r="U71" s="40">
        <f t="shared" si="29"/>
        <v>56395.523740469616</v>
      </c>
      <c r="V71" s="40">
        <f t="shared" si="29"/>
        <v>56766.24850421364</v>
      </c>
      <c r="W71" s="40">
        <f t="shared" si="29"/>
        <v>57078.634817019352</v>
      </c>
      <c r="X71" s="40">
        <f t="shared" si="29"/>
        <v>57332.783335046464</v>
      </c>
      <c r="Y71" s="40">
        <f t="shared" si="29"/>
        <v>57553.963030699859</v>
      </c>
      <c r="Z71" s="40">
        <f t="shared" si="29"/>
        <v>57719.259652529843</v>
      </c>
      <c r="AA71" s="40">
        <f t="shared" si="29"/>
        <v>57825.897800789156</v>
      </c>
      <c r="AB71" s="40">
        <f t="shared" si="29"/>
        <v>57876.955592849554</v>
      </c>
    </row>
    <row r="72" spans="1:28" x14ac:dyDescent="0.25">
      <c r="A72" s="4" t="s">
        <v>333</v>
      </c>
      <c r="B72" s="40">
        <f t="shared" ref="B72:AB72" si="30">B60+B61+B62+B63</f>
        <v>44832.919935578757</v>
      </c>
      <c r="C72" s="40">
        <f t="shared" si="30"/>
        <v>45629.288929477618</v>
      </c>
      <c r="D72" s="40">
        <f t="shared" si="30"/>
        <v>46196.215342679527</v>
      </c>
      <c r="E72" s="40">
        <f t="shared" si="30"/>
        <v>46769.959682371242</v>
      </c>
      <c r="F72" s="40">
        <f t="shared" si="30"/>
        <v>47360.233221898685</v>
      </c>
      <c r="G72" s="40">
        <f t="shared" si="30"/>
        <v>47968.448340631541</v>
      </c>
      <c r="H72" s="40">
        <f t="shared" si="30"/>
        <v>48594.977313769785</v>
      </c>
      <c r="I72" s="40">
        <f t="shared" si="30"/>
        <v>49249.761097934439</v>
      </c>
      <c r="J72" s="40">
        <f t="shared" si="30"/>
        <v>49916.257812583281</v>
      </c>
      <c r="K72" s="40">
        <f t="shared" si="30"/>
        <v>50587.992736508168</v>
      </c>
      <c r="L72" s="40">
        <f t="shared" si="30"/>
        <v>51262.508842832191</v>
      </c>
      <c r="M72" s="40">
        <f t="shared" si="30"/>
        <v>51937.940657572784</v>
      </c>
      <c r="N72" s="40">
        <f t="shared" si="30"/>
        <v>52607.634514529294</v>
      </c>
      <c r="O72" s="40">
        <f t="shared" si="30"/>
        <v>53264.667644333385</v>
      </c>
      <c r="P72" s="40">
        <f t="shared" si="30"/>
        <v>53905.710378271353</v>
      </c>
      <c r="Q72" s="40">
        <f t="shared" si="30"/>
        <v>54522.734381597147</v>
      </c>
      <c r="R72" s="40">
        <f t="shared" si="30"/>
        <v>55110.234825889602</v>
      </c>
      <c r="S72" s="40">
        <f t="shared" si="30"/>
        <v>55599.401587566615</v>
      </c>
      <c r="T72" s="40">
        <f t="shared" si="30"/>
        <v>56049.75491866286</v>
      </c>
      <c r="U72" s="40">
        <f t="shared" si="30"/>
        <v>56461.113964384829</v>
      </c>
      <c r="V72" s="40">
        <f t="shared" si="30"/>
        <v>56820.778300271886</v>
      </c>
      <c r="W72" s="40">
        <f t="shared" si="30"/>
        <v>57123.724835293397</v>
      </c>
      <c r="X72" s="40">
        <f t="shared" si="30"/>
        <v>57369.542437718308</v>
      </c>
      <c r="Y72" s="40">
        <f t="shared" si="30"/>
        <v>57583.199659144935</v>
      </c>
      <c r="Z72" s="40">
        <f t="shared" si="30"/>
        <v>57741.818516376115</v>
      </c>
      <c r="AA72" s="40">
        <f t="shared" si="30"/>
        <v>57842.866395002115</v>
      </c>
      <c r="AB72" s="40">
        <f t="shared" si="30"/>
        <v>57888.495245035563</v>
      </c>
    </row>
    <row r="73" spans="1:28" x14ac:dyDescent="0.25">
      <c r="A73" s="4" t="s">
        <v>334</v>
      </c>
      <c r="B73" s="40">
        <f t="shared" ref="B73:AB73" si="31">B64+B65</f>
        <v>48560.222053314246</v>
      </c>
      <c r="C73" s="40">
        <f t="shared" si="31"/>
        <v>49384.121020234445</v>
      </c>
      <c r="D73" s="40">
        <f t="shared" si="31"/>
        <v>49958.069778943478</v>
      </c>
      <c r="E73" s="40">
        <f t="shared" si="31"/>
        <v>50540.714289368785</v>
      </c>
      <c r="F73" s="40">
        <f t="shared" si="31"/>
        <v>51141.745132820179</v>
      </c>
      <c r="G73" s="40">
        <f t="shared" si="31"/>
        <v>51762.832949796291</v>
      </c>
      <c r="H73" s="40">
        <f t="shared" si="31"/>
        <v>52403.117199536071</v>
      </c>
      <c r="I73" s="40">
        <f t="shared" si="31"/>
        <v>53072.242066839186</v>
      </c>
      <c r="J73" s="40">
        <f t="shared" si="31"/>
        <v>53752.192275700269</v>
      </c>
      <c r="K73" s="40">
        <f t="shared" si="31"/>
        <v>54434.328372776778</v>
      </c>
      <c r="L73" s="40">
        <f t="shared" si="31"/>
        <v>55114.804620942188</v>
      </c>
      <c r="M73" s="40">
        <f t="shared" si="31"/>
        <v>55792.502813783351</v>
      </c>
      <c r="N73" s="40">
        <f t="shared" si="31"/>
        <v>56456.855377692496</v>
      </c>
      <c r="O73" s="40">
        <f t="shared" si="31"/>
        <v>57101.620340732021</v>
      </c>
      <c r="P73" s="40">
        <f t="shared" si="31"/>
        <v>57721.742065619386</v>
      </c>
      <c r="Q73" s="40">
        <f t="shared" si="31"/>
        <v>58308.019148227919</v>
      </c>
      <c r="R73" s="40">
        <f t="shared" si="31"/>
        <v>58854.369707365739</v>
      </c>
      <c r="S73" s="40">
        <f t="shared" si="31"/>
        <v>59286.062728606077</v>
      </c>
      <c r="T73" s="40">
        <f t="shared" si="31"/>
        <v>59667.866920158049</v>
      </c>
      <c r="U73" s="40">
        <f t="shared" si="31"/>
        <v>59999.129360789149</v>
      </c>
      <c r="V73" s="40">
        <f t="shared" si="31"/>
        <v>60265.417737386466</v>
      </c>
      <c r="W73" s="40">
        <f t="shared" si="31"/>
        <v>60463.056391333186</v>
      </c>
      <c r="X73" s="40">
        <f t="shared" si="31"/>
        <v>60591.337627251734</v>
      </c>
      <c r="Y73" s="40">
        <f t="shared" si="31"/>
        <v>60681.010866889374</v>
      </c>
      <c r="Z73" s="40">
        <f t="shared" si="31"/>
        <v>60705.455447670218</v>
      </c>
      <c r="AA73" s="40">
        <f t="shared" si="31"/>
        <v>60663.086524499027</v>
      </c>
      <c r="AB73" s="40">
        <f t="shared" si="31"/>
        <v>60557.739839204922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141.36604461394961</v>
      </c>
      <c r="C2" s="37">
        <f>BDbDT_calcs!C48</f>
        <v>140.47518179849544</v>
      </c>
      <c r="D2" s="37">
        <f>BDbDT_calcs!D48</f>
        <v>138.88921952486564</v>
      </c>
      <c r="E2" s="37">
        <f>BDbDT_calcs!E48</f>
        <v>137.33129650648246</v>
      </c>
      <c r="F2" s="37">
        <f>BDbDT_calcs!F48</f>
        <v>135.77227072461494</v>
      </c>
      <c r="G2" s="37">
        <f>BDbDT_calcs!G48</f>
        <v>134.21231589101305</v>
      </c>
      <c r="H2" s="37">
        <f>BDbDT_calcs!H48</f>
        <v>132.65228544153624</v>
      </c>
      <c r="I2" s="37">
        <f>BDbDT_calcs!I48</f>
        <v>131.20161520374603</v>
      </c>
      <c r="J2" s="37">
        <f>BDbDT_calcs!J48</f>
        <v>129.67849260666341</v>
      </c>
      <c r="K2" s="37">
        <f>BDbDT_calcs!K48</f>
        <v>128.19608737175946</v>
      </c>
      <c r="L2" s="37">
        <f>BDbDT_calcs!L48</f>
        <v>126.65147951555726</v>
      </c>
      <c r="M2" s="37">
        <f>BDbDT_calcs!M48</f>
        <v>125.14722389905465</v>
      </c>
      <c r="N2" s="37">
        <f>BDbDT_calcs!N48</f>
        <v>123.69734579760147</v>
      </c>
      <c r="O2" s="37">
        <f>BDbDT_calcs!O48</f>
        <v>122.09716975664047</v>
      </c>
      <c r="P2" s="37">
        <f>BDbDT_calcs!P48</f>
        <v>120.56515902671102</v>
      </c>
      <c r="Q2" s="37">
        <f>BDbDT_calcs!Q48</f>
        <v>118.96939427132855</v>
      </c>
      <c r="R2" s="37">
        <f>BDbDT_calcs!R48</f>
        <v>117.3817368180441</v>
      </c>
      <c r="S2" s="37">
        <f>BDbDT_calcs!S48</f>
        <v>115.63660060754621</v>
      </c>
      <c r="T2" s="37">
        <f>BDbDT_calcs!T48</f>
        <v>113.91570286745655</v>
      </c>
      <c r="U2" s="37">
        <f>BDbDT_calcs!U48</f>
        <v>112.21730822896015</v>
      </c>
      <c r="V2" s="37">
        <f>BDbDT_calcs!V48</f>
        <v>110.53937522594792</v>
      </c>
      <c r="W2" s="37">
        <f>BDbDT_calcs!W48</f>
        <v>108.89415025364288</v>
      </c>
      <c r="X2" s="37">
        <f>BDbDT_calcs!X48</f>
        <v>107.38000997605144</v>
      </c>
      <c r="Y2" s="37">
        <f>BDbDT_calcs!Y48</f>
        <v>105.88028116092033</v>
      </c>
      <c r="Z2" s="37">
        <f>BDbDT_calcs!Z48</f>
        <v>104.46475527324726</v>
      </c>
      <c r="AA2" s="37">
        <f>BDbDT_calcs!AA48</f>
        <v>103.07418540712469</v>
      </c>
      <c r="AB2" s="37">
        <f>BDbDT_calcs!AB48</f>
        <v>101.6925877374487</v>
      </c>
    </row>
    <row r="3" spans="1:28" x14ac:dyDescent="0.25">
      <c r="A3" s="4" t="s">
        <v>216</v>
      </c>
      <c r="B3" s="37">
        <f>BDbDT_calcs!B49</f>
        <v>117.52492236405072</v>
      </c>
      <c r="C3" s="37">
        <f>BDbDT_calcs!C49</f>
        <v>117.02913162384048</v>
      </c>
      <c r="D3" s="37">
        <f>BDbDT_calcs!D49</f>
        <v>115.96616001896538</v>
      </c>
      <c r="E3" s="37">
        <f>BDbDT_calcs!E49</f>
        <v>114.90918215597473</v>
      </c>
      <c r="F3" s="37">
        <f>BDbDT_calcs!F49</f>
        <v>113.84347673945025</v>
      </c>
      <c r="G3" s="37">
        <f>BDbDT_calcs!G49</f>
        <v>112.80030170108712</v>
      </c>
      <c r="H3" s="37">
        <f>BDbDT_calcs!H49</f>
        <v>111.76484310408327</v>
      </c>
      <c r="I3" s="37">
        <f>BDbDT_calcs!I49</f>
        <v>110.70575708100721</v>
      </c>
      <c r="J3" s="37">
        <f>BDbDT_calcs!J49</f>
        <v>109.71767814454704</v>
      </c>
      <c r="K3" s="37">
        <f>BDbDT_calcs!K49</f>
        <v>108.65836009776251</v>
      </c>
      <c r="L3" s="37">
        <f>BDbDT_calcs!L49</f>
        <v>107.65053874743236</v>
      </c>
      <c r="M3" s="37">
        <f>BDbDT_calcs!M49</f>
        <v>106.57185936822889</v>
      </c>
      <c r="N3" s="37">
        <f>BDbDT_calcs!N49</f>
        <v>105.43776136767829</v>
      </c>
      <c r="O3" s="37">
        <f>BDbDT_calcs!O49</f>
        <v>104.40027266323168</v>
      </c>
      <c r="P3" s="37">
        <f>BDbDT_calcs!P49</f>
        <v>103.23097242237849</v>
      </c>
      <c r="Q3" s="37">
        <f>BDbDT_calcs!Q49</f>
        <v>102.11167202373181</v>
      </c>
      <c r="R3" s="37">
        <f>BDbDT_calcs!R49</f>
        <v>100.9354938843331</v>
      </c>
      <c r="S3" s="37">
        <f>BDbDT_calcs!S49</f>
        <v>99.660650649664206</v>
      </c>
      <c r="T3" s="37">
        <f>BDbDT_calcs!T49</f>
        <v>98.375596200948195</v>
      </c>
      <c r="U3" s="37">
        <f>BDbDT_calcs!U49</f>
        <v>97.109198682133922</v>
      </c>
      <c r="V3" s="37">
        <f>BDbDT_calcs!V49</f>
        <v>95.88981925953567</v>
      </c>
      <c r="W3" s="37">
        <f>BDbDT_calcs!W49</f>
        <v>94.700543889595977</v>
      </c>
      <c r="X3" s="37">
        <f>BDbDT_calcs!X49</f>
        <v>93.509625210671985</v>
      </c>
      <c r="Y3" s="37">
        <f>BDbDT_calcs!Y49</f>
        <v>92.390693492091501</v>
      </c>
      <c r="Z3" s="37">
        <f>BDbDT_calcs!Z49</f>
        <v>91.267297747104919</v>
      </c>
      <c r="AA3" s="37">
        <f>BDbDT_calcs!AA49</f>
        <v>90.197655741299158</v>
      </c>
      <c r="AB3" s="37">
        <f>BDbDT_calcs!AB49</f>
        <v>89.224875747571204</v>
      </c>
    </row>
    <row r="4" spans="1:28" x14ac:dyDescent="0.25">
      <c r="A4" s="4" t="s">
        <v>217</v>
      </c>
      <c r="B4" s="37">
        <f>BDbDT_calcs!B50</f>
        <v>138.37149724745998</v>
      </c>
      <c r="C4" s="37">
        <f>BDbDT_calcs!C50</f>
        <v>137.63122463349899</v>
      </c>
      <c r="D4" s="37">
        <f>BDbDT_calcs!D50</f>
        <v>136.23829781507769</v>
      </c>
      <c r="E4" s="37">
        <f>BDbDT_calcs!E50</f>
        <v>134.8438147258172</v>
      </c>
      <c r="F4" s="37">
        <f>BDbDT_calcs!F50</f>
        <v>133.46265064514756</v>
      </c>
      <c r="G4" s="37">
        <f>BDbDT_calcs!G50</f>
        <v>132.10875720833133</v>
      </c>
      <c r="H4" s="37">
        <f>BDbDT_calcs!H50</f>
        <v>130.72749520106987</v>
      </c>
      <c r="I4" s="37">
        <f>BDbDT_calcs!I50</f>
        <v>129.42329826932348</v>
      </c>
      <c r="J4" s="37">
        <f>BDbDT_calcs!J50</f>
        <v>128.07986124841594</v>
      </c>
      <c r="K4" s="37">
        <f>BDbDT_calcs!K50</f>
        <v>126.70649867370769</v>
      </c>
      <c r="L4" s="37">
        <f>BDbDT_calcs!L50</f>
        <v>125.28969202021179</v>
      </c>
      <c r="M4" s="37">
        <f>BDbDT_calcs!M50</f>
        <v>123.82955487149799</v>
      </c>
      <c r="N4" s="37">
        <f>BDbDT_calcs!N50</f>
        <v>122.32601765974344</v>
      </c>
      <c r="O4" s="37">
        <f>BDbDT_calcs!O50</f>
        <v>120.73809370159607</v>
      </c>
      <c r="P4" s="37">
        <f>BDbDT_calcs!P50</f>
        <v>119.12001860254982</v>
      </c>
      <c r="Q4" s="37">
        <f>BDbDT_calcs!Q50</f>
        <v>117.45749669026108</v>
      </c>
      <c r="R4" s="37">
        <f>BDbDT_calcs!R50</f>
        <v>115.74969273919588</v>
      </c>
      <c r="S4" s="37">
        <f>BDbDT_calcs!S50</f>
        <v>113.88931339731278</v>
      </c>
      <c r="T4" s="37">
        <f>BDbDT_calcs!T50</f>
        <v>112.05339460053972</v>
      </c>
      <c r="U4" s="37">
        <f>BDbDT_calcs!U50</f>
        <v>110.24016372206276</v>
      </c>
      <c r="V4" s="37">
        <f>BDbDT_calcs!V50</f>
        <v>108.46101495797069</v>
      </c>
      <c r="W4" s="37">
        <f>BDbDT_calcs!W50</f>
        <v>106.74060989260927</v>
      </c>
      <c r="X4" s="37">
        <f>BDbDT_calcs!X50</f>
        <v>105.0900930122237</v>
      </c>
      <c r="Y4" s="37">
        <f>BDbDT_calcs!Y50</f>
        <v>103.48097401730901</v>
      </c>
      <c r="Z4" s="37">
        <f>BDbDT_calcs!Z50</f>
        <v>101.92470442820846</v>
      </c>
      <c r="AA4" s="37">
        <f>BDbDT_calcs!AA50</f>
        <v>100.44611211432006</v>
      </c>
      <c r="AB4" s="37">
        <f>BDbDT_calcs!AB50</f>
        <v>99.01661771545966</v>
      </c>
    </row>
    <row r="5" spans="1:28" x14ac:dyDescent="0.25">
      <c r="A5" s="4" t="s">
        <v>218</v>
      </c>
      <c r="B5" s="37">
        <f>BDbDT_calcs!B51</f>
        <v>139.39959071576428</v>
      </c>
      <c r="C5" s="37">
        <f>BDbDT_calcs!C51</f>
        <v>137.69443229807734</v>
      </c>
      <c r="D5" s="37">
        <f>BDbDT_calcs!D51</f>
        <v>135.35431661439034</v>
      </c>
      <c r="E5" s="37">
        <f>BDbDT_calcs!E51</f>
        <v>132.98789468555375</v>
      </c>
      <c r="F5" s="37">
        <f>BDbDT_calcs!F51</f>
        <v>130.59600768256223</v>
      </c>
      <c r="G5" s="37">
        <f>BDbDT_calcs!G51</f>
        <v>128.23757439362291</v>
      </c>
      <c r="H5" s="37">
        <f>BDbDT_calcs!H51</f>
        <v>125.82468787298012</v>
      </c>
      <c r="I5" s="37">
        <f>BDbDT_calcs!I51</f>
        <v>123.50805659650833</v>
      </c>
      <c r="J5" s="37">
        <f>BDbDT_calcs!J51</f>
        <v>121.22495876799559</v>
      </c>
      <c r="K5" s="37">
        <f>BDbDT_calcs!K51</f>
        <v>118.97020447784006</v>
      </c>
      <c r="L5" s="37">
        <f>BDbDT_calcs!L51</f>
        <v>116.80128877847271</v>
      </c>
      <c r="M5" s="37">
        <f>BDbDT_calcs!M51</f>
        <v>114.74615028889949</v>
      </c>
      <c r="N5" s="37">
        <f>BDbDT_calcs!N51</f>
        <v>112.71661917057797</v>
      </c>
      <c r="O5" s="37">
        <f>BDbDT_calcs!O51</f>
        <v>110.7986655579012</v>
      </c>
      <c r="P5" s="37">
        <f>BDbDT_calcs!P51</f>
        <v>108.90438455088488</v>
      </c>
      <c r="Q5" s="37">
        <f>BDbDT_calcs!Q51</f>
        <v>107.09036873296546</v>
      </c>
      <c r="R5" s="37">
        <f>BDbDT_calcs!R51</f>
        <v>105.32644236266506</v>
      </c>
      <c r="S5" s="37">
        <f>BDbDT_calcs!S51</f>
        <v>103.46132627357972</v>
      </c>
      <c r="T5" s="37">
        <f>BDbDT_calcs!T51</f>
        <v>101.64784008366595</v>
      </c>
      <c r="U5" s="37">
        <f>BDbDT_calcs!U51</f>
        <v>99.855506577698605</v>
      </c>
      <c r="V5" s="37">
        <f>BDbDT_calcs!V51</f>
        <v>98.139546344978243</v>
      </c>
      <c r="W5" s="37">
        <f>BDbDT_calcs!W51</f>
        <v>96.412078064980889</v>
      </c>
      <c r="X5" s="37">
        <f>BDbDT_calcs!X51</f>
        <v>94.756770807797494</v>
      </c>
      <c r="Y5" s="37">
        <f>BDbDT_calcs!Y51</f>
        <v>93.200460550436404</v>
      </c>
      <c r="Z5" s="37">
        <f>BDbDT_calcs!Z51</f>
        <v>91.655882460420912</v>
      </c>
      <c r="AA5" s="37">
        <f>BDbDT_calcs!AA51</f>
        <v>90.178185859434819</v>
      </c>
      <c r="AB5" s="37">
        <f>BDbDT_calcs!AB51</f>
        <v>88.708983051816318</v>
      </c>
    </row>
    <row r="6" spans="1:28" x14ac:dyDescent="0.25">
      <c r="A6" s="4" t="s">
        <v>219</v>
      </c>
      <c r="B6" s="37">
        <f>BDbDT_calcs!B52</f>
        <v>3.54728682553116</v>
      </c>
      <c r="C6" s="37">
        <f>BDbDT_calcs!C52</f>
        <v>3.5641033604536205</v>
      </c>
      <c r="D6" s="37">
        <f>BDbDT_calcs!D52</f>
        <v>3.5635711228035474</v>
      </c>
      <c r="E6" s="37">
        <f>BDbDT_calcs!E52</f>
        <v>3.5675702504669591</v>
      </c>
      <c r="F6" s="37">
        <f>BDbDT_calcs!F52</f>
        <v>3.5720118234197491</v>
      </c>
      <c r="G6" s="37">
        <f>BDbDT_calcs!G52</f>
        <v>3.5769138741984512</v>
      </c>
      <c r="H6" s="37">
        <f>BDbDT_calcs!H52</f>
        <v>3.5823140958838864</v>
      </c>
      <c r="I6" s="37">
        <f>BDbDT_calcs!I52</f>
        <v>3.5892055474569191</v>
      </c>
      <c r="J6" s="37">
        <f>BDbDT_calcs!J52</f>
        <v>3.5967005190308927</v>
      </c>
      <c r="K6" s="37">
        <f>BDbDT_calcs!K52</f>
        <v>3.6127406936327313</v>
      </c>
      <c r="L6" s="37">
        <f>BDbDT_calcs!L52</f>
        <v>3.621215467005253</v>
      </c>
      <c r="M6" s="37">
        <f>BDbDT_calcs!M52</f>
        <v>3.6302128408977716</v>
      </c>
      <c r="N6" s="37">
        <f>BDbDT_calcs!N52</f>
        <v>3.6397443369016362</v>
      </c>
      <c r="O6" s="37">
        <f>BDbDT_calcs!O52</f>
        <v>3.6498219634295856</v>
      </c>
      <c r="P6" s="37">
        <f>BDbDT_calcs!P52</f>
        <v>3.656461693661389</v>
      </c>
      <c r="Q6" s="37">
        <f>BDbDT_calcs!Q52</f>
        <v>3.6676527909655121</v>
      </c>
      <c r="R6" s="37">
        <f>BDbDT_calcs!R52</f>
        <v>3.6714299737349396</v>
      </c>
      <c r="S6" s="37">
        <f>BDbDT_calcs!S52</f>
        <v>3.6754383849480678</v>
      </c>
      <c r="T6" s="37">
        <f>BDbDT_calcs!T52</f>
        <v>3.683935593931106</v>
      </c>
      <c r="U6" s="37">
        <f>BDbDT_calcs!U52</f>
        <v>3.684996649107168</v>
      </c>
      <c r="V6" s="37">
        <f>BDbDT_calcs!V52</f>
        <v>3.6904770152088084</v>
      </c>
      <c r="W6" s="37">
        <f>BDbDT_calcs!W52</f>
        <v>3.6963638664237872</v>
      </c>
      <c r="X6" s="37">
        <f>BDbDT_calcs!X52</f>
        <v>3.6986690465812995</v>
      </c>
      <c r="Y6" s="37">
        <f>BDbDT_calcs!Y52</f>
        <v>3.7091784798134895</v>
      </c>
      <c r="Z6" s="37">
        <f>BDbDT_calcs!Z52</f>
        <v>3.7120999554629943</v>
      </c>
      <c r="AA6" s="37">
        <f>BDbDT_calcs!AA52</f>
        <v>3.7152620692261906</v>
      </c>
      <c r="AB6" s="37">
        <f>BDbDT_calcs!AB52</f>
        <v>3.7186161300552518</v>
      </c>
    </row>
    <row r="7" spans="1:28" x14ac:dyDescent="0.25">
      <c r="A7" s="4" t="s">
        <v>220</v>
      </c>
      <c r="B7" s="37">
        <f>BDbDT_calcs!B53</f>
        <v>14.725808850259559</v>
      </c>
      <c r="C7" s="37">
        <f>BDbDT_calcs!C53</f>
        <v>14.870513692221284</v>
      </c>
      <c r="D7" s="37">
        <f>BDbDT_calcs!D53</f>
        <v>14.913624529844148</v>
      </c>
      <c r="E7" s="37">
        <f>BDbDT_calcs!E53</f>
        <v>14.977525482947293</v>
      </c>
      <c r="F7" s="37">
        <f>BDbDT_calcs!F53</f>
        <v>15.033351645007535</v>
      </c>
      <c r="G7" s="37">
        <f>BDbDT_calcs!G53</f>
        <v>15.071711192948097</v>
      </c>
      <c r="H7" s="37">
        <f>BDbDT_calcs!H53</f>
        <v>15.150270048879191</v>
      </c>
      <c r="I7" s="37">
        <f>BDbDT_calcs!I53</f>
        <v>15.196711915061853</v>
      </c>
      <c r="J7" s="37">
        <f>BDbDT_calcs!J53</f>
        <v>15.255127543906664</v>
      </c>
      <c r="K7" s="37">
        <f>BDbDT_calcs!K53</f>
        <v>15.287047608836822</v>
      </c>
      <c r="L7" s="37">
        <f>BDbDT_calcs!L53</f>
        <v>15.330588372226527</v>
      </c>
      <c r="M7" s="37">
        <f>BDbDT_calcs!M53</f>
        <v>15.347975860993037</v>
      </c>
      <c r="N7" s="37">
        <f>BDbDT_calcs!N53</f>
        <v>15.386554621501908</v>
      </c>
      <c r="O7" s="37">
        <f>BDbDT_calcs!O53</f>
        <v>15.40862248205246</v>
      </c>
      <c r="P7" s="37">
        <f>BDbDT_calcs!P53</f>
        <v>15.414293891647166</v>
      </c>
      <c r="Q7" s="37">
        <f>BDbDT_calcs!Q53</f>
        <v>15.403634377820413</v>
      </c>
      <c r="R7" s="37">
        <f>BDbDT_calcs!R53</f>
        <v>15.39542610875537</v>
      </c>
      <c r="S7" s="37">
        <f>BDbDT_calcs!S53</f>
        <v>15.362248974291019</v>
      </c>
      <c r="T7" s="37">
        <f>BDbDT_calcs!T53</f>
        <v>15.294118294928612</v>
      </c>
      <c r="U7" s="37">
        <f>BDbDT_calcs!U53</f>
        <v>15.247019240665537</v>
      </c>
      <c r="V7" s="37">
        <f>BDbDT_calcs!V53</f>
        <v>15.183434340734101</v>
      </c>
      <c r="W7" s="37">
        <f>BDbDT_calcs!W53</f>
        <v>15.121809357486827</v>
      </c>
      <c r="X7" s="37">
        <f>BDbDT_calcs!X53</f>
        <v>15.080462273067251</v>
      </c>
      <c r="Y7" s="37">
        <f>BDbDT_calcs!Y53</f>
        <v>15.012854868313337</v>
      </c>
      <c r="Z7" s="37">
        <f>BDbDT_calcs!Z53</f>
        <v>14.974382930816944</v>
      </c>
      <c r="AA7" s="37">
        <f>BDbDT_calcs!AA53</f>
        <v>14.909299458314102</v>
      </c>
      <c r="AB7" s="37">
        <f>BDbDT_calcs!AB53</f>
        <v>14.872857145466188</v>
      </c>
    </row>
    <row r="8" spans="1:28" x14ac:dyDescent="0.25">
      <c r="A8" s="4" t="s">
        <v>221</v>
      </c>
      <c r="B8" s="37">
        <f>BDbDT_calcs!B54</f>
        <v>18.237763193598223</v>
      </c>
      <c r="C8" s="37">
        <f>BDbDT_calcs!C54</f>
        <v>18.336662744790207</v>
      </c>
      <c r="D8" s="37">
        <f>BDbDT_calcs!D54</f>
        <v>18.355750716639559</v>
      </c>
      <c r="E8" s="37">
        <f>BDbDT_calcs!E54</f>
        <v>18.38164763158025</v>
      </c>
      <c r="F8" s="37">
        <f>BDbDT_calcs!F54</f>
        <v>18.423902579799336</v>
      </c>
      <c r="G8" s="37">
        <f>BDbDT_calcs!G54</f>
        <v>18.449647564026954</v>
      </c>
      <c r="H8" s="37">
        <f>BDbDT_calcs!H54</f>
        <v>18.47328365165696</v>
      </c>
      <c r="I8" s="37">
        <f>BDbDT_calcs!I54</f>
        <v>18.499969894120845</v>
      </c>
      <c r="J8" s="37">
        <f>BDbDT_calcs!J54</f>
        <v>18.520506594014151</v>
      </c>
      <c r="K8" s="37">
        <f>BDbDT_calcs!K54</f>
        <v>18.534367450384604</v>
      </c>
      <c r="L8" s="37">
        <f>BDbDT_calcs!L54</f>
        <v>18.537056373543816</v>
      </c>
      <c r="M8" s="37">
        <f>BDbDT_calcs!M54</f>
        <v>18.528716354203482</v>
      </c>
      <c r="N8" s="37">
        <f>BDbDT_calcs!N54</f>
        <v>18.509460840611471</v>
      </c>
      <c r="O8" s="37">
        <f>BDbDT_calcs!O54</f>
        <v>18.479391883461982</v>
      </c>
      <c r="P8" s="37">
        <f>BDbDT_calcs!P54</f>
        <v>18.424774676372362</v>
      </c>
      <c r="Q8" s="37">
        <f>BDbDT_calcs!Q54</f>
        <v>18.359463161282527</v>
      </c>
      <c r="R8" s="37">
        <f>BDbDT_calcs!R54</f>
        <v>18.269666362637214</v>
      </c>
      <c r="S8" s="37">
        <f>BDbDT_calcs!S54</f>
        <v>18.161605357961395</v>
      </c>
      <c r="T8" s="37">
        <f>BDbDT_calcs!T54</f>
        <v>18.038380843835732</v>
      </c>
      <c r="U8" s="37">
        <f>BDbDT_calcs!U54</f>
        <v>17.899896741730153</v>
      </c>
      <c r="V8" s="37">
        <f>BDbDT_calcs!V54</f>
        <v>17.764201452994037</v>
      </c>
      <c r="W8" s="37">
        <f>BDbDT_calcs!W54</f>
        <v>17.608271784911658</v>
      </c>
      <c r="X8" s="37">
        <f>BDbDT_calcs!X54</f>
        <v>17.477315280607357</v>
      </c>
      <c r="Y8" s="37">
        <f>BDbDT_calcs!Y54</f>
        <v>17.343834273528952</v>
      </c>
      <c r="Z8" s="37">
        <f>BDbDT_calcs!Z54</f>
        <v>17.212108561461118</v>
      </c>
      <c r="AA8" s="37">
        <f>BDbDT_calcs!AA54</f>
        <v>17.086396385184067</v>
      </c>
      <c r="AB8" s="37">
        <f>BDbDT_calcs!AB54</f>
        <v>16.970944875792792</v>
      </c>
    </row>
    <row r="9" spans="1:28" x14ac:dyDescent="0.25">
      <c r="A9" s="4" t="s">
        <v>222</v>
      </c>
      <c r="B9" s="37">
        <f>BDbDT_calcs!B55</f>
        <v>234.19771960888895</v>
      </c>
      <c r="C9" s="37">
        <f>BDbDT_calcs!C55</f>
        <v>232.19516776513569</v>
      </c>
      <c r="D9" s="37">
        <f>BDbDT_calcs!D55</f>
        <v>229.01607695219633</v>
      </c>
      <c r="E9" s="37">
        <f>BDbDT_calcs!E55</f>
        <v>225.85159110155956</v>
      </c>
      <c r="F9" s="37">
        <f>BDbDT_calcs!F55</f>
        <v>222.61409471924989</v>
      </c>
      <c r="G9" s="37">
        <f>BDbDT_calcs!G55</f>
        <v>219.4635462709648</v>
      </c>
      <c r="H9" s="37">
        <f>BDbDT_calcs!H55</f>
        <v>216.32968958573042</v>
      </c>
      <c r="I9" s="37">
        <f>BDbDT_calcs!I55</f>
        <v>213.28771547830749</v>
      </c>
      <c r="J9" s="37">
        <f>BDbDT_calcs!J55</f>
        <v>210.26375620395925</v>
      </c>
      <c r="K9" s="37">
        <f>BDbDT_calcs!K55</f>
        <v>207.23205790618695</v>
      </c>
      <c r="L9" s="37">
        <f>BDbDT_calcs!L55</f>
        <v>204.22722986209155</v>
      </c>
      <c r="M9" s="37">
        <f>BDbDT_calcs!M55</f>
        <v>201.23108598137398</v>
      </c>
      <c r="N9" s="37">
        <f>BDbDT_calcs!N55</f>
        <v>198.27758271610551</v>
      </c>
      <c r="O9" s="37">
        <f>BDbDT_calcs!O55</f>
        <v>195.29614025756118</v>
      </c>
      <c r="P9" s="37">
        <f>BDbDT_calcs!P55</f>
        <v>192.33783667988357</v>
      </c>
      <c r="Q9" s="37">
        <f>BDbDT_calcs!Q55</f>
        <v>189.40103931408609</v>
      </c>
      <c r="R9" s="37">
        <f>BDbDT_calcs!R55</f>
        <v>186.50122973616007</v>
      </c>
      <c r="S9" s="37">
        <f>BDbDT_calcs!S55</f>
        <v>183.36967872429759</v>
      </c>
      <c r="T9" s="37">
        <f>BDbDT_calcs!T55</f>
        <v>180.31255994952465</v>
      </c>
      <c r="U9" s="37">
        <f>BDbDT_calcs!U55</f>
        <v>177.3611848149782</v>
      </c>
      <c r="V9" s="37">
        <f>BDbDT_calcs!V55</f>
        <v>174.47746699870694</v>
      </c>
      <c r="W9" s="37">
        <f>BDbDT_calcs!W55</f>
        <v>171.74352337091574</v>
      </c>
      <c r="X9" s="37">
        <f>BDbDT_calcs!X55</f>
        <v>169.06980591352666</v>
      </c>
      <c r="Y9" s="37">
        <f>BDbDT_calcs!Y55</f>
        <v>166.50513466443891</v>
      </c>
      <c r="Z9" s="37">
        <f>BDbDT_calcs!Z55</f>
        <v>164.02914898034166</v>
      </c>
      <c r="AA9" s="37">
        <f>BDbDT_calcs!AA55</f>
        <v>161.62171848615992</v>
      </c>
      <c r="AB9" s="37">
        <f>BDbDT_calcs!AB55</f>
        <v>159.29706499302162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22416.950407724191</v>
      </c>
      <c r="C2" s="37">
        <f>BDbDT_calcs!C58</f>
        <v>22853.853182187537</v>
      </c>
      <c r="D2" s="37">
        <f>BDbDT_calcs!D58</f>
        <v>23175.362680361963</v>
      </c>
      <c r="E2" s="37">
        <f>BDbDT_calcs!E58</f>
        <v>23495.763020732331</v>
      </c>
      <c r="F2" s="37">
        <f>BDbDT_calcs!F58</f>
        <v>23817.093738109128</v>
      </c>
      <c r="G2" s="37">
        <f>BDbDT_calcs!G58</f>
        <v>24140.071640137521</v>
      </c>
      <c r="H2" s="37">
        <f>BDbDT_calcs!H58</f>
        <v>24463.060569651221</v>
      </c>
      <c r="I2" s="37">
        <f>BDbDT_calcs!I58</f>
        <v>24791.218683553398</v>
      </c>
      <c r="J2" s="37">
        <f>BDbDT_calcs!J58</f>
        <v>25114.769346367928</v>
      </c>
      <c r="K2" s="37">
        <f>BDbDT_calcs!K58</f>
        <v>25433.32545361427</v>
      </c>
      <c r="L2" s="37">
        <f>BDbDT_calcs!L58</f>
        <v>25744.788989953639</v>
      </c>
      <c r="M2" s="37">
        <f>BDbDT_calcs!M58</f>
        <v>26048.786980502333</v>
      </c>
      <c r="N2" s="37">
        <f>BDbDT_calcs!N58</f>
        <v>26342.716984156999</v>
      </c>
      <c r="O2" s="37">
        <f>BDbDT_calcs!O58</f>
        <v>26625.651248039732</v>
      </c>
      <c r="P2" s="37">
        <f>BDbDT_calcs!P58</f>
        <v>26894.238906907674</v>
      </c>
      <c r="Q2" s="37">
        <f>BDbDT_calcs!Q58</f>
        <v>27148.001809848614</v>
      </c>
      <c r="R2" s="37">
        <f>BDbDT_calcs!R58</f>
        <v>27382.887060897428</v>
      </c>
      <c r="S2" s="37">
        <f>BDbDT_calcs!S58</f>
        <v>27566.9137391718</v>
      </c>
      <c r="T2" s="37">
        <f>BDbDT_calcs!T58</f>
        <v>27730.586731622778</v>
      </c>
      <c r="U2" s="37">
        <f>BDbDT_calcs!U58</f>
        <v>27875.451859773737</v>
      </c>
      <c r="V2" s="37">
        <f>BDbDT_calcs!V58</f>
        <v>27994.856707164217</v>
      </c>
      <c r="W2" s="37">
        <f>BDbDT_calcs!W58</f>
        <v>28090.490911804405</v>
      </c>
      <c r="X2" s="37">
        <f>BDbDT_calcs!X58</f>
        <v>28160.834867161953</v>
      </c>
      <c r="Y2" s="37">
        <f>BDbDT_calcs!Y58</f>
        <v>28217.517991594974</v>
      </c>
      <c r="Z2" s="37">
        <f>BDbDT_calcs!Z58</f>
        <v>28250.225889155648</v>
      </c>
      <c r="AA2" s="37">
        <f>BDbDT_calcs!AA58</f>
        <v>28260.693059401561</v>
      </c>
      <c r="AB2" s="37">
        <f>BDbDT_calcs!AB58</f>
        <v>28251.466673304996</v>
      </c>
    </row>
    <row r="3" spans="1:28" x14ac:dyDescent="0.25">
      <c r="A3" s="4" t="s">
        <v>216</v>
      </c>
      <c r="B3" s="37">
        <f>BDbDT_calcs!B59</f>
        <v>21962.595159876186</v>
      </c>
      <c r="C3" s="37">
        <f>BDbDT_calcs!C59</f>
        <v>22332.648958971396</v>
      </c>
      <c r="D3" s="37">
        <f>BDbDT_calcs!D59</f>
        <v>22591.682938752634</v>
      </c>
      <c r="E3" s="37">
        <f>BDbDT_calcs!E59</f>
        <v>22861.586619028199</v>
      </c>
      <c r="F3" s="37">
        <f>BDbDT_calcs!F59</f>
        <v>23148.742614159019</v>
      </c>
      <c r="G3" s="37">
        <f>BDbDT_calcs!G59</f>
        <v>23454.26415811828</v>
      </c>
      <c r="H3" s="37">
        <f>BDbDT_calcs!H59</f>
        <v>23780.202737033611</v>
      </c>
      <c r="I3" s="37">
        <f>BDbDT_calcs!I59</f>
        <v>24130.594015383736</v>
      </c>
      <c r="J3" s="37">
        <f>BDbDT_calcs!J59</f>
        <v>24498.070078710669</v>
      </c>
      <c r="K3" s="37">
        <f>BDbDT_calcs!K59</f>
        <v>24876.33406767984</v>
      </c>
      <c r="L3" s="37">
        <f>BDbDT_calcs!L59</f>
        <v>25264.860310694403</v>
      </c>
      <c r="M3" s="37">
        <f>BDbDT_calcs!M59</f>
        <v>25662.104224821378</v>
      </c>
      <c r="N3" s="37">
        <f>BDbDT_calcs!N59</f>
        <v>26062.595066592236</v>
      </c>
      <c r="O3" s="37">
        <f>BDbDT_calcs!O59</f>
        <v>26461.153300997303</v>
      </c>
      <c r="P3" s="37">
        <f>BDbDT_calcs!P59</f>
        <v>26856.668722042792</v>
      </c>
      <c r="Q3" s="37">
        <f>BDbDT_calcs!Q59</f>
        <v>27241.79680144793</v>
      </c>
      <c r="R3" s="37">
        <f>BDbDT_calcs!R59</f>
        <v>27614.53124833027</v>
      </c>
      <c r="S3" s="37">
        <f>BDbDT_calcs!S59</f>
        <v>27937.200455297272</v>
      </c>
      <c r="T3" s="37">
        <f>BDbDT_calcs!T59</f>
        <v>28239.886171097995</v>
      </c>
      <c r="U3" s="37">
        <f>BDbDT_calcs!U59</f>
        <v>28520.071880695879</v>
      </c>
      <c r="V3" s="37">
        <f>BDbDT_calcs!V59</f>
        <v>28771.391797049426</v>
      </c>
      <c r="W3" s="37">
        <f>BDbDT_calcs!W59</f>
        <v>28988.143905214951</v>
      </c>
      <c r="X3" s="37">
        <f>BDbDT_calcs!X59</f>
        <v>29171.948467884511</v>
      </c>
      <c r="Y3" s="37">
        <f>BDbDT_calcs!Y59</f>
        <v>29336.445039104885</v>
      </c>
      <c r="Z3" s="37">
        <f>BDbDT_calcs!Z59</f>
        <v>29469.033763374195</v>
      </c>
      <c r="AA3" s="37">
        <f>BDbDT_calcs!AA59</f>
        <v>29565.204741387599</v>
      </c>
      <c r="AB3" s="37">
        <f>BDbDT_calcs!AB59</f>
        <v>29625.488919544561</v>
      </c>
    </row>
    <row r="4" spans="1:28" x14ac:dyDescent="0.25">
      <c r="A4" s="4" t="s">
        <v>217</v>
      </c>
      <c r="B4" s="37">
        <f>BDbDT_calcs!B60</f>
        <v>32904.371482702292</v>
      </c>
      <c r="C4" s="37">
        <f>BDbDT_calcs!C60</f>
        <v>33496.809159297038</v>
      </c>
      <c r="D4" s="37">
        <f>BDbDT_calcs!D60</f>
        <v>33918.64504383922</v>
      </c>
      <c r="E4" s="37">
        <f>BDbDT_calcs!E60</f>
        <v>34344.38330352139</v>
      </c>
      <c r="F4" s="37">
        <f>BDbDT_calcs!F60</f>
        <v>34781.053820958077</v>
      </c>
      <c r="G4" s="37">
        <f>BDbDT_calcs!G60</f>
        <v>35228.770857826676</v>
      </c>
      <c r="H4" s="37">
        <f>BDbDT_calcs!H60</f>
        <v>35688.799696440263</v>
      </c>
      <c r="I4" s="37">
        <f>BDbDT_calcs!I60</f>
        <v>36167.23592749508</v>
      </c>
      <c r="J4" s="37">
        <f>BDbDT_calcs!J60</f>
        <v>36651.854601164596</v>
      </c>
      <c r="K4" s="37">
        <f>BDbDT_calcs!K60</f>
        <v>37136.214768686412</v>
      </c>
      <c r="L4" s="37">
        <f>BDbDT_calcs!L60</f>
        <v>37618.414882712554</v>
      </c>
      <c r="M4" s="37">
        <f>BDbDT_calcs!M60</f>
        <v>38097.069309440696</v>
      </c>
      <c r="N4" s="37">
        <f>BDbDT_calcs!N60</f>
        <v>38565.354031234201</v>
      </c>
      <c r="O4" s="37">
        <f>BDbDT_calcs!O60</f>
        <v>39019.541944287259</v>
      </c>
      <c r="P4" s="37">
        <f>BDbDT_calcs!P60</f>
        <v>39454.715237881195</v>
      </c>
      <c r="Q4" s="37">
        <f>BDbDT_calcs!Q60</f>
        <v>39865.682852143131</v>
      </c>
      <c r="R4" s="37">
        <f>BDbDT_calcs!R60</f>
        <v>40247.465126345021</v>
      </c>
      <c r="S4" s="37">
        <f>BDbDT_calcs!S60</f>
        <v>40549.211789087771</v>
      </c>
      <c r="T4" s="37">
        <f>BDbDT_calcs!T60</f>
        <v>40815.550309561942</v>
      </c>
      <c r="U4" s="37">
        <f>BDbDT_calcs!U60</f>
        <v>41046.505661942887</v>
      </c>
      <c r="V4" s="37">
        <f>BDbDT_calcs!V60</f>
        <v>41231.218583223963</v>
      </c>
      <c r="W4" s="37">
        <f>BDbDT_calcs!W60</f>
        <v>41366.663459077681</v>
      </c>
      <c r="X4" s="37">
        <f>BDbDT_calcs!X60</f>
        <v>41453.78092145003</v>
      </c>
      <c r="Y4" s="37">
        <f>BDbDT_calcs!Y60</f>
        <v>41513.760648321528</v>
      </c>
      <c r="Z4" s="37">
        <f>BDbDT_calcs!Z60</f>
        <v>41528.01367532141</v>
      </c>
      <c r="AA4" s="37">
        <f>BDbDT_calcs!AA60</f>
        <v>41493.988177562998</v>
      </c>
      <c r="AB4" s="37">
        <f>BDbDT_calcs!AB60</f>
        <v>41415.232266850158</v>
      </c>
    </row>
    <row r="5" spans="1:28" x14ac:dyDescent="0.25">
      <c r="A5" s="4" t="s">
        <v>218</v>
      </c>
      <c r="B5" s="37">
        <f>BDbDT_calcs!B61</f>
        <v>10777.215386196274</v>
      </c>
      <c r="C5" s="37">
        <f>BDbDT_calcs!C61</f>
        <v>10953.495121401982</v>
      </c>
      <c r="D5" s="37">
        <f>BDbDT_calcs!D61</f>
        <v>11075.80619704013</v>
      </c>
      <c r="E5" s="37">
        <f>BDbDT_calcs!E61</f>
        <v>11199.038296439539</v>
      </c>
      <c r="F5" s="37">
        <f>BDbDT_calcs!F61</f>
        <v>11326.863685994527</v>
      </c>
      <c r="G5" s="37">
        <f>BDbDT_calcs!G61</f>
        <v>11459.58866828815</v>
      </c>
      <c r="H5" s="37">
        <f>BDbDT_calcs!H61</f>
        <v>11596.939877106333</v>
      </c>
      <c r="I5" s="37">
        <f>BDbDT_calcs!I61</f>
        <v>11742.543114569024</v>
      </c>
      <c r="J5" s="37">
        <f>BDbDT_calcs!J61</f>
        <v>11892.688157516588</v>
      </c>
      <c r="K5" s="37">
        <f>BDbDT_calcs!K61</f>
        <v>12046.636258312454</v>
      </c>
      <c r="L5" s="37">
        <f>BDbDT_calcs!L61</f>
        <v>12204.426549427295</v>
      </c>
      <c r="M5" s="37">
        <f>BDbDT_calcs!M61</f>
        <v>12365.457138781392</v>
      </c>
      <c r="N5" s="37">
        <f>BDbDT_calcs!N61</f>
        <v>12530.340484830791</v>
      </c>
      <c r="O5" s="37">
        <f>BDbDT_calcs!O61</f>
        <v>12695.931017001556</v>
      </c>
      <c r="P5" s="37">
        <f>BDbDT_calcs!P61</f>
        <v>12863.651938053938</v>
      </c>
      <c r="Q5" s="37">
        <f>BDbDT_calcs!Q61</f>
        <v>13030.914079064465</v>
      </c>
      <c r="R5" s="37">
        <f>BDbDT_calcs!R61</f>
        <v>13197.429149233656</v>
      </c>
      <c r="S5" s="37">
        <f>BDbDT_calcs!S61</f>
        <v>13347.631920326416</v>
      </c>
      <c r="T5" s="37">
        <f>BDbDT_calcs!T61</f>
        <v>13494.238359504348</v>
      </c>
      <c r="U5" s="37">
        <f>BDbDT_calcs!U61</f>
        <v>13637.462350880804</v>
      </c>
      <c r="V5" s="37">
        <f>BDbDT_calcs!V61</f>
        <v>13775.717229611089</v>
      </c>
      <c r="W5" s="37">
        <f>BDbDT_calcs!W61</f>
        <v>13906.450748676763</v>
      </c>
      <c r="X5" s="37">
        <f>BDbDT_calcs!X61</f>
        <v>14028.731371181839</v>
      </c>
      <c r="Y5" s="37">
        <f>BDbDT_calcs!Y61</f>
        <v>14146.100183839073</v>
      </c>
      <c r="Z5" s="37">
        <f>BDbDT_calcs!Z61</f>
        <v>14254.649005629239</v>
      </c>
      <c r="AA5" s="37">
        <f>BDbDT_calcs!AA61</f>
        <v>14354.250356642944</v>
      </c>
      <c r="AB5" s="37">
        <f>BDbDT_calcs!AB61</f>
        <v>14443.409566411065</v>
      </c>
    </row>
    <row r="6" spans="1:28" x14ac:dyDescent="0.25">
      <c r="A6" s="4" t="s">
        <v>219</v>
      </c>
      <c r="B6" s="37">
        <f>BDbDT_calcs!B62</f>
        <v>502.02966498426071</v>
      </c>
      <c r="C6" s="37">
        <f>BDbDT_calcs!C62</f>
        <v>514.49317051214871</v>
      </c>
      <c r="D6" s="37">
        <f>BDbDT_calcs!D62</f>
        <v>524.78619817452295</v>
      </c>
      <c r="E6" s="37">
        <f>BDbDT_calcs!E62</f>
        <v>535.83594458821813</v>
      </c>
      <c r="F6" s="37">
        <f>BDbDT_calcs!F62</f>
        <v>547.79556864119922</v>
      </c>
      <c r="G6" s="37">
        <f>BDbDT_calcs!G62</f>
        <v>560.65174736241852</v>
      </c>
      <c r="H6" s="37">
        <f>BDbDT_calcs!H62</f>
        <v>574.44009034936255</v>
      </c>
      <c r="I6" s="37">
        <f>BDbDT_calcs!I62</f>
        <v>589.32165358069687</v>
      </c>
      <c r="J6" s="37">
        <f>BDbDT_calcs!J62</f>
        <v>604.84311893323559</v>
      </c>
      <c r="K6" s="37">
        <f>BDbDT_calcs!K62</f>
        <v>620.88392402344994</v>
      </c>
      <c r="L6" s="37">
        <f>BDbDT_calcs!L62</f>
        <v>637.60320236638665</v>
      </c>
      <c r="M6" s="37">
        <f>BDbDT_calcs!M62</f>
        <v>654.87836264323687</v>
      </c>
      <c r="N6" s="37">
        <f>BDbDT_calcs!N62</f>
        <v>672.62795675476843</v>
      </c>
      <c r="O6" s="37">
        <f>BDbDT_calcs!O62</f>
        <v>690.73580240428021</v>
      </c>
      <c r="P6" s="37">
        <f>BDbDT_calcs!P62</f>
        <v>709.14200473868937</v>
      </c>
      <c r="Q6" s="37">
        <f>BDbDT_calcs!Q62</f>
        <v>727.71413925612569</v>
      </c>
      <c r="R6" s="37">
        <f>BDbDT_calcs!R62</f>
        <v>746.38737835889742</v>
      </c>
      <c r="S6" s="37">
        <f>BDbDT_calcs!S62</f>
        <v>764.14152074176525</v>
      </c>
      <c r="T6" s="37">
        <f>BDbDT_calcs!T62</f>
        <v>781.84295971005884</v>
      </c>
      <c r="U6" s="37">
        <f>BDbDT_calcs!U62</f>
        <v>799.32366627346516</v>
      </c>
      <c r="V6" s="37">
        <f>BDbDT_calcs!V62</f>
        <v>816.6108942293572</v>
      </c>
      <c r="W6" s="37">
        <f>BDbDT_calcs!W62</f>
        <v>833.65037108659601</v>
      </c>
      <c r="X6" s="37">
        <f>BDbDT_calcs!X62</f>
        <v>850.51268925880777</v>
      </c>
      <c r="Y6" s="37">
        <f>BDbDT_calcs!Y62</f>
        <v>867.14142112857098</v>
      </c>
      <c r="Z6" s="37">
        <f>BDbDT_calcs!Z62</f>
        <v>883.56228051031417</v>
      </c>
      <c r="AA6" s="37">
        <f>BDbDT_calcs!AA62</f>
        <v>899.76428644844839</v>
      </c>
      <c r="AB6" s="37">
        <f>BDbDT_calcs!AB62</f>
        <v>915.68081320951683</v>
      </c>
    </row>
    <row r="7" spans="1:28" x14ac:dyDescent="0.25">
      <c r="A7" s="4" t="s">
        <v>220</v>
      </c>
      <c r="B7" s="37">
        <f>BDbDT_calcs!B63</f>
        <v>649.30340169593092</v>
      </c>
      <c r="C7" s="37">
        <f>BDbDT_calcs!C63</f>
        <v>664.49147826644969</v>
      </c>
      <c r="D7" s="37">
        <f>BDbDT_calcs!D63</f>
        <v>676.97790362565092</v>
      </c>
      <c r="E7" s="37">
        <f>BDbDT_calcs!E63</f>
        <v>690.70213782209873</v>
      </c>
      <c r="F7" s="37">
        <f>BDbDT_calcs!F63</f>
        <v>704.52014630487668</v>
      </c>
      <c r="G7" s="37">
        <f>BDbDT_calcs!G63</f>
        <v>719.43706715429175</v>
      </c>
      <c r="H7" s="37">
        <f>BDbDT_calcs!H63</f>
        <v>734.7976498738243</v>
      </c>
      <c r="I7" s="37">
        <f>BDbDT_calcs!I63</f>
        <v>750.66040228964152</v>
      </c>
      <c r="J7" s="37">
        <f>BDbDT_calcs!J63</f>
        <v>766.87193496886061</v>
      </c>
      <c r="K7" s="37">
        <f>BDbDT_calcs!K63</f>
        <v>784.25778548585379</v>
      </c>
      <c r="L7" s="37">
        <f>BDbDT_calcs!L63</f>
        <v>802.06420832596257</v>
      </c>
      <c r="M7" s="37">
        <f>BDbDT_calcs!M63</f>
        <v>820.53584670746523</v>
      </c>
      <c r="N7" s="37">
        <f>BDbDT_calcs!N63</f>
        <v>839.31204170953708</v>
      </c>
      <c r="O7" s="37">
        <f>BDbDT_calcs!O63</f>
        <v>858.45888064028622</v>
      </c>
      <c r="P7" s="37">
        <f>BDbDT_calcs!P63</f>
        <v>878.2011975975272</v>
      </c>
      <c r="Q7" s="37">
        <f>BDbDT_calcs!Q63</f>
        <v>898.42331113342311</v>
      </c>
      <c r="R7" s="37">
        <f>BDbDT_calcs!R63</f>
        <v>918.95317195202347</v>
      </c>
      <c r="S7" s="37">
        <f>BDbDT_calcs!S63</f>
        <v>938.41635741066511</v>
      </c>
      <c r="T7" s="37">
        <f>BDbDT_calcs!T63</f>
        <v>958.12328988650768</v>
      </c>
      <c r="U7" s="37">
        <f>BDbDT_calcs!U63</f>
        <v>977.82228528767007</v>
      </c>
      <c r="V7" s="37">
        <f>BDbDT_calcs!V63</f>
        <v>997.23159320747959</v>
      </c>
      <c r="W7" s="37">
        <f>BDbDT_calcs!W63</f>
        <v>1016.9602564523618</v>
      </c>
      <c r="X7" s="37">
        <f>BDbDT_calcs!X63</f>
        <v>1036.5174558276281</v>
      </c>
      <c r="Y7" s="37">
        <f>BDbDT_calcs!Y63</f>
        <v>1056.1974058557614</v>
      </c>
      <c r="Z7" s="37">
        <f>BDbDT_calcs!Z63</f>
        <v>1075.5935549151534</v>
      </c>
      <c r="AA7" s="37">
        <f>BDbDT_calcs!AA63</f>
        <v>1094.8635743477205</v>
      </c>
      <c r="AB7" s="37">
        <f>BDbDT_calcs!AB63</f>
        <v>1114.1725985648245</v>
      </c>
    </row>
    <row r="8" spans="1:28" x14ac:dyDescent="0.25">
      <c r="A8" s="4" t="s">
        <v>221</v>
      </c>
      <c r="B8" s="37">
        <f>BDbDT_calcs!B64</f>
        <v>1187.4725845058526</v>
      </c>
      <c r="C8" s="37">
        <f>BDbDT_calcs!C64</f>
        <v>1230.8859254837664</v>
      </c>
      <c r="D8" s="37">
        <f>BDbDT_calcs!D64</f>
        <v>1269.0194967059583</v>
      </c>
      <c r="E8" s="37">
        <f>BDbDT_calcs!E64</f>
        <v>1308.0236951271438</v>
      </c>
      <c r="F8" s="37">
        <f>BDbDT_calcs!F64</f>
        <v>1347.9136019432915</v>
      </c>
      <c r="G8" s="37">
        <f>BDbDT_calcs!G64</f>
        <v>1388.8542013729534</v>
      </c>
      <c r="H8" s="37">
        <f>BDbDT_calcs!H64</f>
        <v>1431.2984218498812</v>
      </c>
      <c r="I8" s="37">
        <f>BDbDT_calcs!I64</f>
        <v>1475.651241153736</v>
      </c>
      <c r="J8" s="37">
        <f>BDbDT_calcs!J64</f>
        <v>1521.1658287074533</v>
      </c>
      <c r="K8" s="37">
        <f>BDbDT_calcs!K64</f>
        <v>1568.1940832400549</v>
      </c>
      <c r="L8" s="37">
        <f>BDbDT_calcs!L64</f>
        <v>1617.0038245605695</v>
      </c>
      <c r="M8" s="37">
        <f>BDbDT_calcs!M64</f>
        <v>1667.2007684208786</v>
      </c>
      <c r="N8" s="37">
        <f>BDbDT_calcs!N64</f>
        <v>1719.2201903450525</v>
      </c>
      <c r="O8" s="37">
        <f>BDbDT_calcs!O64</f>
        <v>1772.7776826900531</v>
      </c>
      <c r="P8" s="37">
        <f>BDbDT_calcs!P64</f>
        <v>1827.7974536566358</v>
      </c>
      <c r="Q8" s="37">
        <f>BDbDT_calcs!Q64</f>
        <v>1884.3627382487721</v>
      </c>
      <c r="R8" s="37">
        <f>BDbDT_calcs!R64</f>
        <v>1942.0962820912721</v>
      </c>
      <c r="S8" s="37">
        <f>BDbDT_calcs!S64</f>
        <v>1998.6558198923265</v>
      </c>
      <c r="T8" s="37">
        <f>BDbDT_calcs!T64</f>
        <v>2056.2108908082746</v>
      </c>
      <c r="U8" s="37">
        <f>BDbDT_calcs!U64</f>
        <v>2114.6237341939041</v>
      </c>
      <c r="V8" s="37">
        <f>BDbDT_calcs!V64</f>
        <v>2173.6123891687957</v>
      </c>
      <c r="W8" s="37">
        <f>BDbDT_calcs!W64</f>
        <v>2232.8770755104251</v>
      </c>
      <c r="X8" s="37">
        <f>BDbDT_calcs!X64</f>
        <v>2292.6878371973048</v>
      </c>
      <c r="Y8" s="37">
        <f>BDbDT_calcs!Y64</f>
        <v>2352.5827769043754</v>
      </c>
      <c r="Z8" s="37">
        <f>BDbDT_calcs!Z64</f>
        <v>2412.5291754481846</v>
      </c>
      <c r="AA8" s="37">
        <f>BDbDT_calcs!AA64</f>
        <v>2471.9842310863455</v>
      </c>
      <c r="AB8" s="37">
        <f>BDbDT_calcs!AB64</f>
        <v>2530.8790866645636</v>
      </c>
    </row>
    <row r="9" spans="1:28" x14ac:dyDescent="0.25">
      <c r="A9" s="4" t="s">
        <v>222</v>
      </c>
      <c r="B9" s="37">
        <f>BDbDT_calcs!B65</f>
        <v>47372.749468808397</v>
      </c>
      <c r="C9" s="37">
        <f>BDbDT_calcs!C65</f>
        <v>48153.235094750678</v>
      </c>
      <c r="D9" s="37">
        <f>BDbDT_calcs!D65</f>
        <v>48689.05028223752</v>
      </c>
      <c r="E9" s="37">
        <f>BDbDT_calcs!E65</f>
        <v>49232.690594241642</v>
      </c>
      <c r="F9" s="37">
        <f>BDbDT_calcs!F65</f>
        <v>49793.831530876887</v>
      </c>
      <c r="G9" s="37">
        <f>BDbDT_calcs!G65</f>
        <v>50373.978748423338</v>
      </c>
      <c r="H9" s="37">
        <f>BDbDT_calcs!H65</f>
        <v>50971.818777686189</v>
      </c>
      <c r="I9" s="37">
        <f>BDbDT_calcs!I65</f>
        <v>51596.590825685453</v>
      </c>
      <c r="J9" s="37">
        <f>BDbDT_calcs!J65</f>
        <v>52231.026446992815</v>
      </c>
      <c r="K9" s="37">
        <f>BDbDT_calcs!K65</f>
        <v>52866.13428953672</v>
      </c>
      <c r="L9" s="37">
        <f>BDbDT_calcs!L65</f>
        <v>53497.80079638162</v>
      </c>
      <c r="M9" s="37">
        <f>BDbDT_calcs!M65</f>
        <v>54125.30204536247</v>
      </c>
      <c r="N9" s="37">
        <f>BDbDT_calcs!N65</f>
        <v>54737.635187347441</v>
      </c>
      <c r="O9" s="37">
        <f>BDbDT_calcs!O65</f>
        <v>55328.842658041969</v>
      </c>
      <c r="P9" s="37">
        <f>BDbDT_calcs!P65</f>
        <v>55893.944611962754</v>
      </c>
      <c r="Q9" s="37">
        <f>BDbDT_calcs!Q65</f>
        <v>56423.656409979143</v>
      </c>
      <c r="R9" s="37">
        <f>BDbDT_calcs!R65</f>
        <v>56912.273425274463</v>
      </c>
      <c r="S9" s="37">
        <f>BDbDT_calcs!S65</f>
        <v>57287.406908713754</v>
      </c>
      <c r="T9" s="37">
        <f>BDbDT_calcs!T65</f>
        <v>57611.656029349775</v>
      </c>
      <c r="U9" s="37">
        <f>BDbDT_calcs!U65</f>
        <v>57884.505626595244</v>
      </c>
      <c r="V9" s="37">
        <f>BDbDT_calcs!V65</f>
        <v>58091.805348217669</v>
      </c>
      <c r="W9" s="37">
        <f>BDbDT_calcs!W65</f>
        <v>58230.179315822759</v>
      </c>
      <c r="X9" s="37">
        <f>BDbDT_calcs!X65</f>
        <v>58298.649790054427</v>
      </c>
      <c r="Y9" s="37">
        <f>BDbDT_calcs!Y65</f>
        <v>58328.428089984998</v>
      </c>
      <c r="Z9" s="37">
        <f>BDbDT_calcs!Z65</f>
        <v>58292.92627222203</v>
      </c>
      <c r="AA9" s="37">
        <f>BDbDT_calcs!AA65</f>
        <v>58191.102293412681</v>
      </c>
      <c r="AB9" s="37">
        <f>BDbDT_calcs!AB65</f>
        <v>58026.860752540357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2026-08-17T20:28:25Z</dcterms:modified>
</cp:coreProperties>
</file>