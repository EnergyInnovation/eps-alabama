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AL\add-outputs\NoH\"/>
    </mc:Choice>
  </mc:AlternateContent>
  <xr:revisionPtr revIDLastSave="0" documentId="8_{09EDAD00-71A8-4AA7-A72D-5D61740B48C7}"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K2" i="3"/>
  <c r="M2" i="3"/>
  <c r="D2" i="3"/>
  <c r="Z2" i="3"/>
  <c r="E2" i="3"/>
  <c r="AA2" i="3"/>
  <c r="U2" i="3"/>
  <c r="F2" i="3"/>
  <c r="AB2" i="3"/>
  <c r="W2" i="3"/>
  <c r="G2" i="3"/>
  <c r="AC2" i="3"/>
  <c r="AD2" i="3"/>
  <c r="L2" i="3"/>
  <c r="R2" i="3"/>
  <c r="H2" i="3"/>
  <c r="I2" i="3"/>
  <c r="AE2" i="3"/>
  <c r="B2" i="3"/>
  <c r="J2" i="3"/>
  <c r="T2" i="3"/>
  <c r="N2" i="3"/>
  <c r="O2" i="3"/>
  <c r="P2" i="3"/>
  <c r="Q2" i="3"/>
  <c r="S2" i="3"/>
  <c r="X2" i="3"/>
  <c r="V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<sst xmlns="http://schemas.openxmlformats.org/spreadsheetml/2006/main" count="1069" uniqueCount="448">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</sst>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326</v>
      </c>
      <c r="C1" s="68">
        <v>46185</v>
      </c>
      <c r="H1" t="s">
        <v>324</v>
      </c>
      <c r="I1" t="s">
        <v>325</v>
      </c>
    </row>
    <row r="2" spans="1:9" x14ac:dyDescent="0.25">
      <c r="B2" t="str">
        <f>VLOOKUP(B1,H2:I52,2)</f>
        <v>AL</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2023225.0380715602</v>
      </c>
      <c r="C2">
        <f>SUMIFS('state calcs'!C62:C112,'state calcs'!$A$62:$A$112,About!$B$2)</f>
        <v>2051425.664719671</v>
      </c>
      <c r="D2">
        <f>SUMIFS('state calcs'!D62:D112,'state calcs'!$A$62:$A$112,About!$B$2)</f>
        <v>2067450.7472481416</v>
      </c>
      <c r="E2">
        <f>SUMIFS('state calcs'!E62:E112,'state calcs'!$A$62:$A$112,About!$B$2)</f>
        <v>2083482.9572945342</v>
      </c>
      <c r="F2">
        <f>SUMIFS('state calcs'!F62:F112,'state calcs'!$A$62:$A$112,About!$B$2)</f>
        <v>2099922.6891461951</v>
      </c>
      <c r="G2">
        <f>SUMIFS('state calcs'!G62:G112,'state calcs'!$A$62:$A$112,About!$B$2)</f>
        <v>2116279.9924287708</v>
      </c>
      <c r="H2">
        <f>SUMIFS('state calcs'!H62:H112,'state calcs'!$A$62:$A$112,About!$B$2)</f>
        <v>2132706.5886168517</v>
      </c>
      <c r="I2">
        <f>SUMIFS('state calcs'!I62:I112,'state calcs'!$A$62:$A$112,About!$B$2)</f>
        <v>2149241.6966563193</v>
      </c>
      <c r="J2">
        <f>SUMIFS('state calcs'!J62:J112,'state calcs'!$A$62:$A$112,About!$B$2)</f>
        <v>2165599.1218758356</v>
      </c>
      <c r="K2">
        <f>SUMIFS('state calcs'!K62:K112,'state calcs'!$A$62:$A$112,About!$B$2)</f>
        <v>2181433.0619625202</v>
      </c>
      <c r="L2">
        <f>SUMIFS('state calcs'!L62:L112,'state calcs'!$A$62:$A$112,About!$B$2)</f>
        <v>2194809.868956408</v>
      </c>
      <c r="M2">
        <f>SUMIFS('state calcs'!M62:M112,'state calcs'!$A$62:$A$112,About!$B$2)</f>
        <v>2207996.0652812063</v>
      </c>
      <c r="N2">
        <f>SUMIFS('state calcs'!N62:N112,'state calcs'!$A$62:$A$112,About!$B$2)</f>
        <v>2220730.17208149</v>
      </c>
      <c r="O2">
        <f>SUMIFS('state calcs'!O62:O112,'state calcs'!$A$62:$A$112,About!$B$2)</f>
        <v>2232853.457124678</v>
      </c>
      <c r="P2">
        <f>SUMIFS('state calcs'!P62:P112,'state calcs'!$A$62:$A$112,About!$B$2)</f>
        <v>2244691.950497021</v>
      </c>
      <c r="Q2">
        <f>SUMIFS('state calcs'!Q62:Q112,'state calcs'!$A$62:$A$112,About!$B$2)</f>
        <v>2256508.0753312986</v>
      </c>
      <c r="R2">
        <f>SUMIFS('state calcs'!R62:R112,'state calcs'!$A$62:$A$112,About!$B$2)</f>
        <v>2268168.494268788</v>
      </c>
      <c r="S2">
        <f>SUMIFS('state calcs'!S62:S112,'state calcs'!$A$62:$A$112,About!$B$2)</f>
        <v>2279712.1164334323</v>
      </c>
      <c r="T2">
        <f>SUMIFS('state calcs'!T62:T112,'state calcs'!$A$62:$A$112,About!$B$2)</f>
        <v>2291087.9996441612</v>
      </c>
      <c r="U2">
        <f>SUMIFS('state calcs'!U62:U112,'state calcs'!$A$62:$A$112,About!$B$2)</f>
        <v>2302608.8944024802</v>
      </c>
      <c r="V2">
        <f>SUMIFS('state calcs'!V62:V112,'state calcs'!$A$62:$A$112,About!$B$2)</f>
        <v>2313381.0624737074</v>
      </c>
      <c r="W2">
        <f>SUMIFS('state calcs'!W62:W112,'state calcs'!$A$62:$A$112,About!$B$2)</f>
        <v>2323841.818070068</v>
      </c>
      <c r="X2">
        <f>SUMIFS('state calcs'!X62:X112,'state calcs'!$A$62:$A$112,About!$B$2)</f>
        <v>2334118.615874269</v>
      </c>
      <c r="Y2">
        <f>SUMIFS('state calcs'!Y62:Y112,'state calcs'!$A$62:$A$112,About!$B$2)</f>
        <v>2344224.9052094677</v>
      </c>
      <c r="Z2">
        <f>SUMIFS('state calcs'!Z62:Z112,'state calcs'!$A$62:$A$112,About!$B$2)</f>
        <v>2354178.7775579351</v>
      </c>
      <c r="AA2">
        <f>SUMIFS('state calcs'!AA62:AA112,'state calcs'!$A$62:$A$112,About!$B$2)</f>
        <v>2363922.4576047226</v>
      </c>
      <c r="AB2">
        <f>SUMIFS('state calcs'!AB62:AB112,'state calcs'!$A$62:$A$112,About!$B$2)</f>
        <v>2373557.1169791939</v>
      </c>
      <c r="AC2">
        <f>SUMIFS('state calcs'!AC62:AC112,'state calcs'!$A$62:$A$112,About!$B$2)</f>
        <v>2382972.6596389469</v>
      </c>
      <c r="AD2">
        <f>SUMIFS('state calcs'!AD62:AD112,'state calcs'!$A$62:$A$112,About!$B$2)</f>
        <v>2392154.4502773262</v>
      </c>
      <c r="AE2">
        <f>SUMIFS('state calcs'!AE62:AE112,'state calcs'!$A$62:$A$112,About!$B$2)</f>
        <v>2401151.2725577652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2026-06-12T19:27:53Z</dcterms:modified>
</cp:coreProperties>
</file>